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ЭтаКнига" defaultThemeVersion="124226"/>
  <bookViews>
    <workbookView xWindow="0" yWindow="0" windowWidth="14985" windowHeight="5565" tabRatio="753" activeTab="4"/>
  </bookViews>
  <sheets>
    <sheet name="The Black-Scholes model" sheetId="1" r:id="rId1"/>
    <sheet name="Microsoft stock price" sheetId="2" r:id="rId2"/>
    <sheet name="Binomial Model" sheetId="4" r:id="rId3"/>
    <sheet name="Oil Price and factors" sheetId="5" r:id="rId4"/>
    <sheet name="Oil price forecasting" sheetId="6" r:id="rId5"/>
    <sheet name="Sources" sheetId="7" r:id="rId6"/>
  </sheets>
  <functionGroups builtInGroupCount="18"/>
  <definedNames>
    <definedName name="Discount_Factor">'Binomial Model'!$F$28</definedName>
    <definedName name="Down_movement">'Binomial Model'!$F$26</definedName>
    <definedName name="Exercise_Price">'Binomial Model'!$B$25</definedName>
    <definedName name="Interest_Rate">'Binomial Model'!$B$26</definedName>
    <definedName name="nSteps">'Binomial Model'!$B$12</definedName>
    <definedName name="Number_of_Steps">'Binomial Model'!$B$29</definedName>
    <definedName name="Stock_Price">'Binomial Model'!$B$24</definedName>
    <definedName name="Time_Interval">'Binomial Model'!$F$24</definedName>
    <definedName name="Time_to_Maturity">'Binomial Model'!$B$28</definedName>
    <definedName name="TimeToMaturity">'Binomial Model'!$B$11</definedName>
    <definedName name="Up_movement">'Binomial Model'!$F$25</definedName>
    <definedName name="Up_probability">'Binomial Model'!$F$27</definedName>
    <definedName name="Volatility">'Binomial Model'!$B$27</definedName>
  </definedNames>
  <calcPr calcId="152511"/>
</workbook>
</file>

<file path=xl/calcChain.xml><?xml version="1.0" encoding="utf-8"?>
<calcChain xmlns="http://schemas.openxmlformats.org/spreadsheetml/2006/main">
  <c r="M241" i="6" l="1"/>
  <c r="M242" i="6"/>
  <c r="M243" i="6"/>
  <c r="M244" i="6"/>
  <c r="M245" i="6"/>
  <c r="I241" i="6"/>
  <c r="I242" i="6"/>
  <c r="I243" i="6"/>
  <c r="I244" i="6"/>
  <c r="I245" i="6"/>
  <c r="N34" i="1"/>
  <c r="O34" i="1"/>
  <c r="M32" i="2" l="1"/>
  <c r="B27" i="4"/>
  <c r="H6" i="2" l="1"/>
  <c r="H7" i="2"/>
  <c r="A34" i="1"/>
  <c r="B34" i="1" s="1"/>
  <c r="E34" i="1"/>
  <c r="C34" i="1"/>
  <c r="G27" i="5" l="1"/>
  <c r="G26" i="5"/>
  <c r="G25" i="5"/>
  <c r="B28" i="4"/>
  <c r="F24" i="4" s="1"/>
  <c r="B26" i="4"/>
  <c r="B24" i="4"/>
  <c r="F33" i="4" s="1"/>
  <c r="B25" i="4" l="1"/>
  <c r="F31" i="4"/>
  <c r="K31" i="4"/>
  <c r="J31" i="4" l="1"/>
  <c r="I31" i="4"/>
  <c r="F28" i="4"/>
  <c r="G31" i="4"/>
  <c r="H31" i="4"/>
  <c r="M6" i="2" l="1"/>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D34" i="1" l="1"/>
  <c r="F34" i="1" s="1"/>
  <c r="G34" i="1" s="1"/>
  <c r="I34" i="1" s="1"/>
  <c r="F25" i="4"/>
  <c r="G33" i="4" l="1"/>
  <c r="H33" i="4" s="1"/>
  <c r="I33" i="4" s="1"/>
  <c r="J33" i="4" s="1"/>
  <c r="K33" i="4" s="1"/>
  <c r="F26" i="4"/>
  <c r="K34" i="1"/>
  <c r="J34" i="1"/>
  <c r="H34" i="1"/>
  <c r="L34" i="1" s="1"/>
  <c r="J46" i="2" s="1"/>
  <c r="G34" i="4" l="1"/>
  <c r="F27" i="4"/>
  <c r="K40" i="4"/>
  <c r="K47" i="4"/>
  <c r="M34" i="1"/>
  <c r="K46" i="2" s="1"/>
  <c r="H34" i="4" l="1"/>
  <c r="I34" i="4" s="1"/>
  <c r="J34" i="4" s="1"/>
  <c r="K34" i="4" s="1"/>
  <c r="H35" i="4"/>
  <c r="I36" i="4" l="1"/>
  <c r="I35" i="4"/>
  <c r="J35" i="4" s="1"/>
  <c r="K35" i="4" s="1"/>
  <c r="K41" i="4"/>
  <c r="J40" i="4" s="1"/>
  <c r="K48" i="4"/>
  <c r="K42" i="4" l="1"/>
  <c r="J41" i="4" s="1"/>
  <c r="I40" i="4" s="1"/>
  <c r="K49" i="4"/>
  <c r="J36" i="4"/>
  <c r="K36" i="4" s="1"/>
  <c r="J37" i="4"/>
  <c r="K38" i="4" l="1"/>
  <c r="K37" i="4"/>
  <c r="K43" i="4"/>
  <c r="J42" i="4" s="1"/>
  <c r="K50" i="4"/>
  <c r="J49" i="4" l="1"/>
  <c r="I41" i="4"/>
  <c r="H40" i="4" s="1"/>
  <c r="K51" i="4"/>
  <c r="K44" i="4"/>
  <c r="K52" i="4"/>
  <c r="K45" i="4"/>
  <c r="J51" i="4" l="1"/>
  <c r="J50" i="4"/>
  <c r="J43" i="4"/>
  <c r="I42" i="4" s="1"/>
  <c r="J44" i="4"/>
  <c r="I48" i="4"/>
  <c r="I50" i="4" l="1"/>
  <c r="I43" i="4"/>
  <c r="I49" i="4"/>
  <c r="H47" i="4"/>
  <c r="H41" i="4"/>
  <c r="G40" i="4" s="1"/>
  <c r="H42" i="4"/>
  <c r="H49" i="4" l="1"/>
  <c r="H48" i="4"/>
  <c r="G47" i="4" s="1"/>
  <c r="G41" i="4"/>
  <c r="F40" i="4" s="1"/>
  <c r="A34" i="4" s="1"/>
  <c r="G48" i="4" l="1"/>
  <c r="F47" i="4" s="1"/>
  <c r="M46" i="2"/>
  <c r="N46" i="2" l="1"/>
  <c r="B34" i="4"/>
</calcChain>
</file>

<file path=xl/sharedStrings.xml><?xml version="1.0" encoding="utf-8"?>
<sst xmlns="http://schemas.openxmlformats.org/spreadsheetml/2006/main" count="103" uniqueCount="93">
  <si>
    <t>K - strike price</t>
  </si>
  <si>
    <t xml:space="preserve">r - risk free rate </t>
  </si>
  <si>
    <t xml:space="preserve">t- time to maturity </t>
  </si>
  <si>
    <t>S - current stock price</t>
  </si>
  <si>
    <t>Input Parameters:</t>
  </si>
  <si>
    <r>
      <t>σ -</t>
    </r>
    <r>
      <rPr>
        <b/>
        <sz val="12"/>
        <color rgb="FF000000"/>
        <rFont val="Calibri"/>
        <family val="2"/>
        <scheme val="minor"/>
      </rPr>
      <t xml:space="preserve"> </t>
    </r>
    <r>
      <rPr>
        <b/>
        <sz val="11"/>
        <color rgb="FF000000"/>
        <rFont val="Calibri"/>
        <family val="2"/>
        <scheme val="minor"/>
      </rPr>
      <t>implied volatility</t>
    </r>
    <r>
      <rPr>
        <b/>
        <sz val="16"/>
        <color rgb="FF000000"/>
        <rFont val="Calibri"/>
        <family val="2"/>
        <scheme val="minor"/>
      </rPr>
      <t xml:space="preserve"> 
</t>
    </r>
  </si>
  <si>
    <t>N(d1)</t>
  </si>
  <si>
    <t>d2</t>
  </si>
  <si>
    <t>N(d2)</t>
  </si>
  <si>
    <t xml:space="preserve">d1 </t>
  </si>
  <si>
    <t>C - call option price</t>
  </si>
  <si>
    <t>P - put option price</t>
  </si>
  <si>
    <t>Result:</t>
  </si>
  <si>
    <t>Calculations:</t>
  </si>
  <si>
    <t>N(-d1)</t>
  </si>
  <si>
    <t>N(-d2)</t>
  </si>
  <si>
    <t>Date</t>
  </si>
  <si>
    <t>Open</t>
  </si>
  <si>
    <t>High</t>
  </si>
  <si>
    <t>Low</t>
  </si>
  <si>
    <t>Close</t>
  </si>
  <si>
    <t>Volume</t>
  </si>
  <si>
    <t>Adj Close</t>
  </si>
  <si>
    <t>Source:  https://finance.yahoo.com</t>
  </si>
  <si>
    <t>Additional Data:</t>
  </si>
  <si>
    <t>Risk free rate</t>
  </si>
  <si>
    <t>Exercise price</t>
  </si>
  <si>
    <t>For analysis Adjusted closing price is used</t>
  </si>
  <si>
    <t>Step 1 "Volatility calculation"</t>
  </si>
  <si>
    <t>Volatility</t>
  </si>
  <si>
    <t>Time to expiry (year)</t>
  </si>
  <si>
    <t>Volatility (calculated)</t>
  </si>
  <si>
    <t>Stock return</t>
  </si>
  <si>
    <t>Call</t>
  </si>
  <si>
    <t>Put</t>
  </si>
  <si>
    <t>Parameters</t>
  </si>
  <si>
    <t>Time to Maturity</t>
  </si>
  <si>
    <t>Number of Steps</t>
  </si>
  <si>
    <t>Dividend Yield</t>
  </si>
  <si>
    <t xml:space="preserve">Stock Price </t>
  </si>
  <si>
    <t xml:space="preserve">Exercise Price </t>
  </si>
  <si>
    <t xml:space="preserve">Interest Rate </t>
  </si>
  <si>
    <t>Calculations</t>
  </si>
  <si>
    <t>Time Interval</t>
  </si>
  <si>
    <t>Up movement</t>
  </si>
  <si>
    <t>u</t>
  </si>
  <si>
    <t>d = 1/u</t>
  </si>
  <si>
    <t>Up probability</t>
  </si>
  <si>
    <t>Discount Factor</t>
  </si>
  <si>
    <t>Step</t>
  </si>
  <si>
    <t>Time</t>
  </si>
  <si>
    <t>Stock Price</t>
  </si>
  <si>
    <t>Call Option Price</t>
  </si>
  <si>
    <t>Put Option Price</t>
  </si>
  <si>
    <t>DATE</t>
  </si>
  <si>
    <t>Price</t>
  </si>
  <si>
    <t>Min</t>
  </si>
  <si>
    <t>Max</t>
  </si>
  <si>
    <t>Average</t>
  </si>
  <si>
    <t xml:space="preserve"> </t>
  </si>
  <si>
    <t>Data source: http://peakoilbarrel.com/opec-crude-oil-production-charts/</t>
  </si>
  <si>
    <t>Source :http://www.macrotrends.net/1369/crude-oil-price-history-chart</t>
  </si>
  <si>
    <t>Source: http://www.opec.org  Monthly oil Market Report 14 March 2017</t>
  </si>
  <si>
    <t>Source: http://www.opec.org Monthly oil Market Report 14 March 2017</t>
  </si>
  <si>
    <t>Black-Scholes pricing model result:</t>
  </si>
  <si>
    <t>Binimial Option pricing model result:</t>
  </si>
  <si>
    <t>Step 2 "Option prices models ussage"</t>
  </si>
  <si>
    <t>Sources used in the project</t>
  </si>
  <si>
    <t>Financial Markets and Institutions, 11th Edition, Jeff Madura</t>
  </si>
  <si>
    <t>Yahoo Finance  https://finance.yahoo.com/</t>
  </si>
  <si>
    <t>http://www.tradingeconomics.com/</t>
  </si>
  <si>
    <t>https://www.eia.gov/</t>
  </si>
  <si>
    <t xml:space="preserve">Source: http://www.reuters.com/article/us-opec-meeting-idUSKCN0JA0O320141128 
</t>
  </si>
  <si>
    <t xml:space="preserve">http://www.reuters.com/article/us-opec-meeting-idUSKCN0JA0O320141128 </t>
  </si>
  <si>
    <t xml:space="preserve">http://oilprice.com/Energy/Oil-Prices/Did-The-Saudis-And-The-US-Collude-In-Dropping-Oil-Prices.html
</t>
  </si>
  <si>
    <t>https://www.thealertinvestor.com/oil-and-the-dollar/</t>
  </si>
  <si>
    <t>http://www.opec.org  Monthly oil Market Report 14 March 2017</t>
  </si>
  <si>
    <t>http://peakoilbarrel.com/opec-crude-oil-production-charts/</t>
  </si>
  <si>
    <t>http://www.macrotrends.net/1369/crude-oil-price-history-chart</t>
  </si>
  <si>
    <t>Annual standard deviation of stock returns</t>
  </si>
  <si>
    <t>Binomial Option Pricing Model result:</t>
  </si>
  <si>
    <t>Day number</t>
  </si>
  <si>
    <t>Y = 0.0645*X + 34.853</t>
  </si>
  <si>
    <t>Forecasted</t>
  </si>
  <si>
    <t>Actual</t>
  </si>
  <si>
    <t xml:space="preserve"> day #311</t>
  </si>
  <si>
    <t xml:space="preserve"> day #312</t>
  </si>
  <si>
    <t xml:space="preserve"> day #313</t>
  </si>
  <si>
    <t xml:space="preserve"> day #314</t>
  </si>
  <si>
    <t xml:space="preserve"> day #315</t>
  </si>
  <si>
    <t>#</t>
  </si>
  <si>
    <t>Ratio</t>
  </si>
  <si>
    <t>Result via VBA</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</si>
</sst>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yyyy\-mm\-dd"/>
  </numFmts>
  <fonts count="19" x14ac:knownFonts="1">
    <font>
      <sz val="11"/>
      <color theme="1"/>
      <name val="Calibri"/>
      <family val="2"/>
      <scheme val="minor"/>
    </font>
    <font>
      <b/>
      <sz val="11"/>
      <color theme="1"/>
      <name val="Calibri"/>
      <family val="2"/>
      <scheme val="minor"/>
    </font>
    <font>
      <sz val="12"/>
      <color rgb="FF3C3C3C"/>
      <name val="Verdana"/>
      <family val="2"/>
    </font>
    <font>
      <b/>
      <sz val="14"/>
      <color theme="1"/>
      <name val="Calibri"/>
      <family val="2"/>
      <scheme val="minor"/>
    </font>
    <font>
      <b/>
      <sz val="12"/>
      <color rgb="FF3C3C3C"/>
      <name val="Verdana"/>
      <family val="2"/>
    </font>
    <font>
      <sz val="11"/>
      <color rgb="FF000000"/>
      <name val="Calibri"/>
      <family val="2"/>
      <scheme val="minor"/>
    </font>
    <font>
      <b/>
      <sz val="16"/>
      <color rgb="FF000000"/>
      <name val="Calibri"/>
      <family val="2"/>
      <scheme val="minor"/>
    </font>
    <font>
      <b/>
      <sz val="12"/>
      <color rgb="FF000000"/>
      <name val="Calibri"/>
      <family val="2"/>
      <scheme val="minor"/>
    </font>
    <font>
      <b/>
      <sz val="11"/>
      <color rgb="FF000000"/>
      <name val="Calibri"/>
      <family val="2"/>
      <scheme val="minor"/>
    </font>
    <font>
      <b/>
      <i/>
      <sz val="11"/>
      <color rgb="FF000000"/>
      <name val="Calibri"/>
      <family val="2"/>
      <scheme val="minor"/>
    </font>
    <font>
      <b/>
      <i/>
      <sz val="11"/>
      <color theme="1"/>
      <name val="Calibri"/>
      <family val="2"/>
      <scheme val="minor"/>
    </font>
    <font>
      <b/>
      <sz val="11"/>
      <color rgb="FFFFFF00"/>
      <name val="Calibri"/>
      <family val="2"/>
      <scheme val="minor"/>
    </font>
    <font>
      <sz val="11"/>
      <color rgb="FF3C3C3C"/>
      <name val="Segoe UI"/>
      <family val="2"/>
    </font>
    <font>
      <sz val="10"/>
      <name val="Arial"/>
      <family val="2"/>
      <charset val="1"/>
    </font>
    <font>
      <u/>
      <sz val="11"/>
      <color theme="10"/>
      <name val="Calibri"/>
      <family val="2"/>
      <scheme val="minor"/>
    </font>
    <font>
      <u/>
      <sz val="12"/>
      <color theme="10"/>
      <name val="Calibri"/>
      <family val="2"/>
      <scheme val="minor"/>
    </font>
    <font>
      <b/>
      <i/>
      <sz val="18"/>
      <color theme="1"/>
      <name val="Calibri"/>
      <family val="2"/>
      <charset val="204"/>
      <scheme val="minor"/>
    </font>
    <font>
      <sz val="12"/>
      <name val="Arial"/>
      <family val="2"/>
      <charset val="204"/>
    </font>
    <font>
      <b/>
      <sz val="11"/>
      <color theme="1"/>
      <name val="Calibri"/>
      <family val="2"/>
      <charset val="204"/>
      <scheme val="minor"/>
    </font>
  </fonts>
  <fills count="14">
    <fill>
      <patternFill patternType="none"/>
    </fill>
    <fill>
      <patternFill patternType="gray125"/>
    </fill>
    <fill>
      <patternFill patternType="solid">
        <fgColor rgb="FFFFFF00"/>
        <bgColor indexed="64"/>
      </patternFill>
    </fill>
    <fill>
      <patternFill patternType="solid">
        <fgColor theme="3" tint="0.79998168889431442"/>
        <bgColor indexed="64"/>
      </patternFill>
    </fill>
    <fill>
      <patternFill patternType="solid">
        <fgColor rgb="FFCCFFFF"/>
        <bgColor indexed="64"/>
      </patternFill>
    </fill>
    <fill>
      <patternFill patternType="solid">
        <fgColor rgb="FFCCECFF"/>
        <bgColor indexed="64"/>
      </patternFill>
    </fill>
    <fill>
      <patternFill patternType="solid">
        <fgColor rgb="FFFFFFCC"/>
        <bgColor indexed="64"/>
      </patternFill>
    </fill>
    <fill>
      <patternFill patternType="solid">
        <fgColor rgb="FFFFFF99"/>
        <bgColor indexed="64"/>
      </patternFill>
    </fill>
    <fill>
      <patternFill patternType="solid">
        <fgColor theme="1"/>
        <bgColor indexed="64"/>
      </patternFill>
    </fill>
    <fill>
      <patternFill patternType="solid">
        <fgColor rgb="FF9BFDA0"/>
        <bgColor indexed="64"/>
      </patternFill>
    </fill>
    <fill>
      <patternFill patternType="solid">
        <fgColor rgb="FF99FFCC"/>
        <bgColor indexed="64"/>
      </patternFill>
    </fill>
    <fill>
      <patternFill patternType="solid">
        <fgColor rgb="FFCCFFCC"/>
        <bgColor indexed="64"/>
      </patternFill>
    </fill>
    <fill>
      <patternFill patternType="solid">
        <fgColor rgb="FF92D050"/>
        <bgColor indexed="64"/>
      </patternFill>
    </fill>
    <fill>
      <patternFill patternType="solid">
        <fgColor rgb="FF00FF00"/>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4">
    <xf numFmtId="0" fontId="0" fillId="0" borderId="0"/>
    <xf numFmtId="0" fontId="13" fillId="0" borderId="0" applyBorder="0">
      <protection locked="0"/>
    </xf>
    <xf numFmtId="0" fontId="14" fillId="0" borderId="0" applyNumberFormat="0" applyFill="0" applyBorder="0" applyAlignment="0" applyProtection="0"/>
    <xf numFmtId="0" fontId="13" fillId="0" borderId="0" applyBorder="0">
      <protection locked="0"/>
    </xf>
  </cellStyleXfs>
  <cellXfs count="82">
    <xf numFmtId="0" fontId="0" fillId="0" borderId="0" xfId="0"/>
    <xf numFmtId="0" fontId="3" fillId="0" borderId="0" xfId="0" applyFont="1" applyAlignment="1"/>
    <xf numFmtId="0" fontId="4" fillId="0" borderId="0" xfId="0" applyFont="1" applyBorder="1"/>
    <xf numFmtId="0" fontId="0" fillId="0" borderId="0" xfId="0" applyBorder="1"/>
    <xf numFmtId="0" fontId="2" fillId="0" borderId="0" xfId="0" applyFont="1" applyAlignment="1">
      <alignment horizontal="left" vertical="center" wrapText="1" indent="6"/>
    </xf>
    <xf numFmtId="0" fontId="0" fillId="0" borderId="0" xfId="0" applyAlignment="1"/>
    <xf numFmtId="0" fontId="1" fillId="3" borderId="1" xfId="0" applyFont="1" applyFill="1" applyBorder="1"/>
    <xf numFmtId="0" fontId="0" fillId="3" borderId="1" xfId="0" applyFill="1" applyBorder="1"/>
    <xf numFmtId="0" fontId="1" fillId="4" borderId="1" xfId="0" applyFont="1" applyFill="1" applyBorder="1" applyAlignment="1"/>
    <xf numFmtId="0" fontId="1" fillId="4" borderId="1" xfId="0" applyFont="1" applyFill="1" applyBorder="1"/>
    <xf numFmtId="0" fontId="6" fillId="4" borderId="1" xfId="0" applyFont="1" applyFill="1" applyBorder="1" applyAlignment="1"/>
    <xf numFmtId="0" fontId="9" fillId="4" borderId="1" xfId="0" applyFont="1" applyFill="1" applyBorder="1"/>
    <xf numFmtId="0" fontId="0" fillId="4" borderId="1" xfId="0" applyFill="1" applyBorder="1"/>
    <xf numFmtId="0" fontId="10" fillId="5" borderId="1" xfId="0" applyFont="1" applyFill="1" applyBorder="1"/>
    <xf numFmtId="0" fontId="0" fillId="5" borderId="1" xfId="0" applyFill="1" applyBorder="1"/>
    <xf numFmtId="0" fontId="0" fillId="6" borderId="1" xfId="0" applyFill="1" applyBorder="1"/>
    <xf numFmtId="0" fontId="10" fillId="7" borderId="1" xfId="0" applyFont="1" applyFill="1" applyBorder="1"/>
    <xf numFmtId="0" fontId="0" fillId="7" borderId="1" xfId="0" applyFill="1" applyBorder="1"/>
    <xf numFmtId="0" fontId="0" fillId="0" borderId="0" xfId="0" applyFill="1" applyBorder="1"/>
    <xf numFmtId="0" fontId="0" fillId="0" borderId="0" xfId="0" applyFill="1" applyBorder="1" applyAlignment="1">
      <alignment wrapText="1"/>
    </xf>
    <xf numFmtId="0" fontId="1" fillId="0" borderId="0" xfId="0" applyFont="1" applyFill="1" applyBorder="1" applyAlignment="1">
      <alignment wrapText="1"/>
    </xf>
    <xf numFmtId="14" fontId="0" fillId="0" borderId="0" xfId="0" applyNumberFormat="1"/>
    <xf numFmtId="0" fontId="0" fillId="10" borderId="1" xfId="0" applyFill="1" applyBorder="1"/>
    <xf numFmtId="0" fontId="0" fillId="9" borderId="1" xfId="0" applyFill="1" applyBorder="1"/>
    <xf numFmtId="14" fontId="0" fillId="10" borderId="1" xfId="0" applyNumberFormat="1" applyFill="1" applyBorder="1"/>
    <xf numFmtId="14" fontId="0" fillId="9" borderId="1" xfId="0" applyNumberFormat="1" applyFill="1" applyBorder="1"/>
    <xf numFmtId="0" fontId="0" fillId="10" borderId="1" xfId="0" applyFill="1" applyBorder="1" applyAlignment="1">
      <alignment horizontal="center" vertical="center"/>
    </xf>
    <xf numFmtId="0" fontId="0" fillId="4" borderId="0" xfId="0" applyFill="1" applyAlignment="1">
      <alignment horizontal="center"/>
    </xf>
    <xf numFmtId="0" fontId="2" fillId="0" borderId="0" xfId="0" applyFont="1" applyAlignment="1">
      <alignment horizontal="left" vertical="center" wrapText="1"/>
    </xf>
    <xf numFmtId="0" fontId="12" fillId="0" borderId="0" xfId="0" applyFont="1" applyAlignment="1">
      <alignment horizontal="left" vertical="center" wrapText="1" indent="6"/>
    </xf>
    <xf numFmtId="0" fontId="1" fillId="0" borderId="0" xfId="0" applyFont="1" applyFill="1" applyBorder="1"/>
    <xf numFmtId="0" fontId="1" fillId="11" borderId="1" xfId="0" applyFont="1" applyFill="1" applyBorder="1"/>
    <xf numFmtId="0" fontId="0" fillId="11" borderId="1" xfId="0" applyFill="1" applyBorder="1"/>
    <xf numFmtId="0" fontId="0" fillId="11" borderId="1" xfId="0" applyFill="1" applyBorder="1" applyAlignment="1">
      <alignment horizontal="center"/>
    </xf>
    <xf numFmtId="0" fontId="5" fillId="11" borderId="1" xfId="0" applyFont="1" applyFill="1" applyBorder="1"/>
    <xf numFmtId="0" fontId="0" fillId="2" borderId="1" xfId="0" applyFill="1" applyBorder="1"/>
    <xf numFmtId="0" fontId="0" fillId="0" borderId="1" xfId="0" applyFill="1" applyBorder="1"/>
    <xf numFmtId="164" fontId="13" fillId="12" borderId="1" xfId="1" applyNumberFormat="1" applyFill="1" applyBorder="1">
      <protection locked="0"/>
    </xf>
    <xf numFmtId="0" fontId="13" fillId="12" borderId="1" xfId="1" applyFill="1" applyBorder="1">
      <protection locked="0"/>
    </xf>
    <xf numFmtId="164" fontId="13" fillId="11" borderId="1" xfId="1" applyNumberFormat="1" applyFill="1" applyBorder="1">
      <protection locked="0"/>
    </xf>
    <xf numFmtId="0" fontId="13" fillId="11" borderId="1" xfId="1" applyFill="1" applyBorder="1">
      <protection locked="0"/>
    </xf>
    <xf numFmtId="0" fontId="0" fillId="0" borderId="1" xfId="0" applyBorder="1"/>
    <xf numFmtId="0" fontId="0" fillId="0" borderId="0" xfId="0" applyFill="1"/>
    <xf numFmtId="2" fontId="0" fillId="3" borderId="1" xfId="0" applyNumberFormat="1" applyFill="1" applyBorder="1"/>
    <xf numFmtId="164" fontId="13" fillId="11" borderId="6" xfId="1" applyNumberFormat="1" applyFill="1" applyBorder="1">
      <protection locked="0"/>
    </xf>
    <xf numFmtId="0" fontId="13" fillId="11" borderId="6" xfId="1" applyFill="1" applyBorder="1">
      <protection locked="0"/>
    </xf>
    <xf numFmtId="0" fontId="13" fillId="0" borderId="0" xfId="1" applyFill="1" applyBorder="1">
      <protection locked="0"/>
    </xf>
    <xf numFmtId="14" fontId="13" fillId="0" borderId="0" xfId="1" applyNumberFormat="1" applyFill="1" applyBorder="1">
      <protection locked="0"/>
    </xf>
    <xf numFmtId="14" fontId="0" fillId="0" borderId="0" xfId="0" applyNumberFormat="1" applyFill="1" applyBorder="1"/>
    <xf numFmtId="0" fontId="13" fillId="10" borderId="1" xfId="3" applyFill="1" applyBorder="1">
      <protection locked="0"/>
    </xf>
    <xf numFmtId="164" fontId="13" fillId="10" borderId="1" xfId="3" applyNumberFormat="1" applyFill="1" applyBorder="1">
      <protection locked="0"/>
    </xf>
    <xf numFmtId="0" fontId="0" fillId="13" borderId="1" xfId="0" applyFill="1" applyBorder="1"/>
    <xf numFmtId="0" fontId="18" fillId="13" borderId="0" xfId="0" applyFont="1" applyFill="1"/>
    <xf numFmtId="0" fontId="10" fillId="2" borderId="1" xfId="0" applyFont="1" applyFill="1" applyBorder="1"/>
    <xf numFmtId="0" fontId="1" fillId="4" borderId="1" xfId="0" applyFont="1" applyFill="1" applyBorder="1" applyAlignment="1">
      <alignment horizontal="center"/>
    </xf>
    <xf numFmtId="0" fontId="0" fillId="4" borderId="1" xfId="0" applyFill="1" applyBorder="1" applyAlignment="1">
      <alignment horizontal="center"/>
    </xf>
    <xf numFmtId="0" fontId="1" fillId="7" borderId="1" xfId="0" applyFont="1" applyFill="1" applyBorder="1" applyAlignment="1">
      <alignment horizontal="center"/>
    </xf>
    <xf numFmtId="0" fontId="1" fillId="5" borderId="1" xfId="0" applyFont="1" applyFill="1" applyBorder="1" applyAlignment="1">
      <alignment horizontal="center"/>
    </xf>
    <xf numFmtId="0" fontId="1" fillId="2" borderId="1" xfId="0" applyFont="1" applyFill="1" applyBorder="1" applyAlignment="1">
      <alignment horizontal="center"/>
    </xf>
    <xf numFmtId="0" fontId="0" fillId="9" borderId="3" xfId="0" applyFill="1" applyBorder="1" applyAlignment="1">
      <alignment horizontal="center" wrapText="1"/>
    </xf>
    <xf numFmtId="0" fontId="0" fillId="9" borderId="5" xfId="0" applyFill="1" applyBorder="1" applyAlignment="1">
      <alignment horizontal="center" wrapText="1"/>
    </xf>
    <xf numFmtId="0" fontId="0" fillId="2" borderId="1" xfId="0" applyFill="1" applyBorder="1" applyAlignment="1">
      <alignment horizontal="center"/>
    </xf>
    <xf numFmtId="0" fontId="0" fillId="4" borderId="0" xfId="0" applyFill="1" applyAlignment="1">
      <alignment horizontal="center"/>
    </xf>
    <xf numFmtId="0" fontId="11" fillId="8" borderId="3" xfId="0" applyFont="1" applyFill="1" applyBorder="1" applyAlignment="1">
      <alignment horizontal="center"/>
    </xf>
    <xf numFmtId="0" fontId="11" fillId="8" borderId="4" xfId="0" applyFont="1" applyFill="1" applyBorder="1" applyAlignment="1">
      <alignment horizontal="center"/>
    </xf>
    <xf numFmtId="0" fontId="11" fillId="8" borderId="5" xfId="0" applyFont="1" applyFill="1" applyBorder="1" applyAlignment="1">
      <alignment horizontal="center"/>
    </xf>
    <xf numFmtId="0" fontId="0" fillId="4" borderId="2" xfId="0" applyFill="1" applyBorder="1" applyAlignment="1">
      <alignment horizontal="center"/>
    </xf>
    <xf numFmtId="0" fontId="0" fillId="4" borderId="0" xfId="0" applyFill="1" applyBorder="1" applyAlignment="1">
      <alignment horizontal="center"/>
    </xf>
    <xf numFmtId="0" fontId="0" fillId="5" borderId="1" xfId="0" applyFill="1" applyBorder="1" applyAlignment="1">
      <alignment horizontal="center"/>
    </xf>
    <xf numFmtId="0" fontId="0" fillId="0" borderId="0" xfId="0" applyFill="1" applyBorder="1" applyAlignment="1">
      <alignment horizontal="center"/>
    </xf>
    <xf numFmtId="0" fontId="14" fillId="2" borderId="0" xfId="2" applyFill="1" applyAlignment="1">
      <alignment wrapText="1"/>
    </xf>
    <xf numFmtId="0" fontId="14" fillId="2" borderId="0" xfId="2" applyFill="1"/>
    <xf numFmtId="0" fontId="14" fillId="2" borderId="0" xfId="2" applyFill="1" applyAlignment="1">
      <alignment horizontal="center"/>
    </xf>
    <xf numFmtId="0" fontId="15" fillId="2" borderId="0" xfId="2" applyFont="1" applyFill="1" applyAlignment="1">
      <alignment horizontal="center"/>
    </xf>
    <xf numFmtId="0" fontId="14" fillId="0" borderId="0" xfId="2" applyFill="1" applyAlignment="1">
      <alignment horizontal="left" vertical="top"/>
    </xf>
    <xf numFmtId="0" fontId="14" fillId="0" borderId="0" xfId="2" applyAlignment="1">
      <alignment horizontal="left" vertical="top"/>
    </xf>
    <xf numFmtId="0" fontId="0" fillId="0" borderId="0" xfId="0" applyAlignment="1">
      <alignment horizontal="left" vertical="top"/>
    </xf>
    <xf numFmtId="0" fontId="14" fillId="0" borderId="0" xfId="2" applyFill="1" applyAlignment="1">
      <alignment horizontal="left"/>
    </xf>
    <xf numFmtId="0" fontId="14" fillId="0" borderId="0" xfId="2" applyAlignment="1">
      <alignment horizontal="left"/>
    </xf>
    <xf numFmtId="0" fontId="0" fillId="0" borderId="0" xfId="0" applyAlignment="1">
      <alignment horizontal="left"/>
    </xf>
    <xf numFmtId="0" fontId="16" fillId="2" borderId="0" xfId="0" applyFont="1" applyFill="1" applyAlignment="1">
      <alignment horizontal="center"/>
    </xf>
    <xf numFmtId="0" fontId="17" fillId="0" borderId="0" xfId="0" applyFont="1" applyAlignment="1">
      <alignment horizontal="left"/>
    </xf>
  </cellXfs>
  <cellStyles count="4">
    <cellStyle name="Normal 2" xfId="1"/>
    <cellStyle name="Гиперссылка" xfId="2" builtinId="8"/>
    <cellStyle name="Обычный" xfId="0" builtinId="0"/>
    <cellStyle name="Обычный 2" xfId="3"/>
  </cellStyles>
  <dxfs count="0"/>
  <tableStyles count="0" defaultTableStyle="TableStyleMedium2" defaultPivotStyle="PivotStyleMedium9"/>
  <colors>
    <mruColors>
      <color rgb="FFFFFF00"/>
      <color rgb="FF00FF00"/>
      <color rgb="FF99FFCC"/>
      <color rgb="FF9BFDA0"/>
      <color rgb="FFCCECFF"/>
      <color rgb="FFCCFFCC"/>
      <color rgb="FFFFFFCC"/>
      <color rgb="FFCCFFFF"/>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Stock</a:t>
            </a:r>
            <a:r>
              <a:rPr lang="en-US" baseline="0"/>
              <a:t> Price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lineChart>
        <c:grouping val="standard"/>
        <c:varyColors val="0"/>
        <c:ser>
          <c:idx val="0"/>
          <c:order val="0"/>
          <c:tx>
            <c:v>Close</c:v>
          </c:tx>
          <c:spPr>
            <a:ln w="28575" cap="rnd">
              <a:solidFill>
                <a:schemeClr val="accent1"/>
              </a:solidFill>
              <a:round/>
            </a:ln>
            <a:effectLst/>
          </c:spPr>
          <c:marker>
            <c:symbol val="none"/>
          </c:marker>
          <c:cat>
            <c:numRef>
              <c:f>'Microsoft stock price'!$A$6:$A$258</c:f>
              <c:numCache>
                <c:formatCode>m/d/yyyy</c:formatCode>
                <c:ptCount val="253"/>
                <c:pt idx="0">
                  <c:v>42829</c:v>
                </c:pt>
                <c:pt idx="1">
                  <c:v>42828</c:v>
                </c:pt>
                <c:pt idx="2">
                  <c:v>42825</c:v>
                </c:pt>
                <c:pt idx="3">
                  <c:v>42824</c:v>
                </c:pt>
                <c:pt idx="4">
                  <c:v>42823</c:v>
                </c:pt>
                <c:pt idx="5">
                  <c:v>42822</c:v>
                </c:pt>
                <c:pt idx="6">
                  <c:v>42821</c:v>
                </c:pt>
                <c:pt idx="7">
                  <c:v>42818</c:v>
                </c:pt>
                <c:pt idx="8">
                  <c:v>42817</c:v>
                </c:pt>
                <c:pt idx="9">
                  <c:v>42816</c:v>
                </c:pt>
                <c:pt idx="10">
                  <c:v>42815</c:v>
                </c:pt>
                <c:pt idx="11">
                  <c:v>42814</c:v>
                </c:pt>
                <c:pt idx="12">
                  <c:v>42811</c:v>
                </c:pt>
                <c:pt idx="13">
                  <c:v>42810</c:v>
                </c:pt>
                <c:pt idx="14">
                  <c:v>42809</c:v>
                </c:pt>
                <c:pt idx="15">
                  <c:v>42808</c:v>
                </c:pt>
                <c:pt idx="16">
                  <c:v>42807</c:v>
                </c:pt>
                <c:pt idx="17">
                  <c:v>42804</c:v>
                </c:pt>
                <c:pt idx="18">
                  <c:v>42803</c:v>
                </c:pt>
                <c:pt idx="19">
                  <c:v>42802</c:v>
                </c:pt>
                <c:pt idx="20">
                  <c:v>42801</c:v>
                </c:pt>
                <c:pt idx="21">
                  <c:v>42800</c:v>
                </c:pt>
                <c:pt idx="22">
                  <c:v>42797</c:v>
                </c:pt>
                <c:pt idx="23">
                  <c:v>42796</c:v>
                </c:pt>
                <c:pt idx="24">
                  <c:v>42795</c:v>
                </c:pt>
                <c:pt idx="25">
                  <c:v>42794</c:v>
                </c:pt>
                <c:pt idx="26">
                  <c:v>42793</c:v>
                </c:pt>
                <c:pt idx="27">
                  <c:v>42790</c:v>
                </c:pt>
                <c:pt idx="28">
                  <c:v>42789</c:v>
                </c:pt>
                <c:pt idx="29">
                  <c:v>42788</c:v>
                </c:pt>
                <c:pt idx="30">
                  <c:v>42787</c:v>
                </c:pt>
                <c:pt idx="31">
                  <c:v>42783</c:v>
                </c:pt>
                <c:pt idx="32">
                  <c:v>42782</c:v>
                </c:pt>
                <c:pt idx="33">
                  <c:v>42781</c:v>
                </c:pt>
                <c:pt idx="34">
                  <c:v>42780</c:v>
                </c:pt>
                <c:pt idx="35">
                  <c:v>42779</c:v>
                </c:pt>
                <c:pt idx="36">
                  <c:v>42776</c:v>
                </c:pt>
                <c:pt idx="37">
                  <c:v>42775</c:v>
                </c:pt>
                <c:pt idx="38">
                  <c:v>42774</c:v>
                </c:pt>
                <c:pt idx="39">
                  <c:v>42773</c:v>
                </c:pt>
                <c:pt idx="40">
                  <c:v>42772</c:v>
                </c:pt>
                <c:pt idx="41">
                  <c:v>42769</c:v>
                </c:pt>
                <c:pt idx="42">
                  <c:v>42768</c:v>
                </c:pt>
                <c:pt idx="43">
                  <c:v>42767</c:v>
                </c:pt>
                <c:pt idx="44">
                  <c:v>42766</c:v>
                </c:pt>
                <c:pt idx="45">
                  <c:v>42765</c:v>
                </c:pt>
                <c:pt idx="46">
                  <c:v>42762</c:v>
                </c:pt>
                <c:pt idx="47">
                  <c:v>42761</c:v>
                </c:pt>
                <c:pt idx="48">
                  <c:v>42760</c:v>
                </c:pt>
                <c:pt idx="49">
                  <c:v>42759</c:v>
                </c:pt>
                <c:pt idx="50">
                  <c:v>42758</c:v>
                </c:pt>
                <c:pt idx="51">
                  <c:v>42755</c:v>
                </c:pt>
                <c:pt idx="52">
                  <c:v>42754</c:v>
                </c:pt>
                <c:pt idx="53">
                  <c:v>42753</c:v>
                </c:pt>
                <c:pt idx="54">
                  <c:v>42752</c:v>
                </c:pt>
                <c:pt idx="55">
                  <c:v>42748</c:v>
                </c:pt>
                <c:pt idx="56">
                  <c:v>42747</c:v>
                </c:pt>
                <c:pt idx="57">
                  <c:v>42746</c:v>
                </c:pt>
                <c:pt idx="58">
                  <c:v>42745</c:v>
                </c:pt>
                <c:pt idx="59">
                  <c:v>42744</c:v>
                </c:pt>
                <c:pt idx="60">
                  <c:v>42741</c:v>
                </c:pt>
                <c:pt idx="61">
                  <c:v>42740</c:v>
                </c:pt>
                <c:pt idx="62">
                  <c:v>42739</c:v>
                </c:pt>
                <c:pt idx="63">
                  <c:v>42738</c:v>
                </c:pt>
                <c:pt idx="64">
                  <c:v>42734</c:v>
                </c:pt>
                <c:pt idx="65">
                  <c:v>42733</c:v>
                </c:pt>
                <c:pt idx="66">
                  <c:v>42732</c:v>
                </c:pt>
                <c:pt idx="67">
                  <c:v>42731</c:v>
                </c:pt>
                <c:pt idx="68">
                  <c:v>42727</c:v>
                </c:pt>
                <c:pt idx="69">
                  <c:v>42726</c:v>
                </c:pt>
                <c:pt idx="70">
                  <c:v>42725</c:v>
                </c:pt>
                <c:pt idx="71">
                  <c:v>42724</c:v>
                </c:pt>
                <c:pt idx="72">
                  <c:v>42723</c:v>
                </c:pt>
                <c:pt idx="73">
                  <c:v>42720</c:v>
                </c:pt>
                <c:pt idx="74">
                  <c:v>42719</c:v>
                </c:pt>
                <c:pt idx="75">
                  <c:v>42718</c:v>
                </c:pt>
                <c:pt idx="76">
                  <c:v>42717</c:v>
                </c:pt>
                <c:pt idx="77">
                  <c:v>42716</c:v>
                </c:pt>
                <c:pt idx="78">
                  <c:v>42713</c:v>
                </c:pt>
                <c:pt idx="79">
                  <c:v>42712</c:v>
                </c:pt>
                <c:pt idx="80">
                  <c:v>42711</c:v>
                </c:pt>
                <c:pt idx="81">
                  <c:v>42710</c:v>
                </c:pt>
                <c:pt idx="82">
                  <c:v>42709</c:v>
                </c:pt>
                <c:pt idx="83">
                  <c:v>42706</c:v>
                </c:pt>
                <c:pt idx="84">
                  <c:v>42705</c:v>
                </c:pt>
                <c:pt idx="85">
                  <c:v>42704</c:v>
                </c:pt>
                <c:pt idx="86">
                  <c:v>42703</c:v>
                </c:pt>
                <c:pt idx="87">
                  <c:v>42702</c:v>
                </c:pt>
                <c:pt idx="88">
                  <c:v>42699</c:v>
                </c:pt>
                <c:pt idx="89">
                  <c:v>42697</c:v>
                </c:pt>
                <c:pt idx="90">
                  <c:v>42696</c:v>
                </c:pt>
                <c:pt idx="91">
                  <c:v>42695</c:v>
                </c:pt>
                <c:pt idx="92">
                  <c:v>42692</c:v>
                </c:pt>
                <c:pt idx="93">
                  <c:v>42691</c:v>
                </c:pt>
                <c:pt idx="94">
                  <c:v>42690</c:v>
                </c:pt>
                <c:pt idx="95">
                  <c:v>42689</c:v>
                </c:pt>
                <c:pt idx="96">
                  <c:v>42688</c:v>
                </c:pt>
                <c:pt idx="97">
                  <c:v>42685</c:v>
                </c:pt>
                <c:pt idx="98">
                  <c:v>42684</c:v>
                </c:pt>
                <c:pt idx="99">
                  <c:v>42683</c:v>
                </c:pt>
                <c:pt idx="100">
                  <c:v>42682</c:v>
                </c:pt>
                <c:pt idx="101">
                  <c:v>42681</c:v>
                </c:pt>
                <c:pt idx="102">
                  <c:v>42678</c:v>
                </c:pt>
                <c:pt idx="103">
                  <c:v>42677</c:v>
                </c:pt>
                <c:pt idx="104">
                  <c:v>42676</c:v>
                </c:pt>
                <c:pt idx="105">
                  <c:v>42675</c:v>
                </c:pt>
                <c:pt idx="106">
                  <c:v>42674</c:v>
                </c:pt>
                <c:pt idx="107">
                  <c:v>42671</c:v>
                </c:pt>
                <c:pt idx="108">
                  <c:v>42670</c:v>
                </c:pt>
                <c:pt idx="109">
                  <c:v>42669</c:v>
                </c:pt>
                <c:pt idx="110">
                  <c:v>42668</c:v>
                </c:pt>
                <c:pt idx="111">
                  <c:v>42667</c:v>
                </c:pt>
                <c:pt idx="112">
                  <c:v>42664</c:v>
                </c:pt>
                <c:pt idx="113">
                  <c:v>42663</c:v>
                </c:pt>
                <c:pt idx="114">
                  <c:v>42662</c:v>
                </c:pt>
                <c:pt idx="115">
                  <c:v>42661</c:v>
                </c:pt>
                <c:pt idx="116">
                  <c:v>42660</c:v>
                </c:pt>
                <c:pt idx="117">
                  <c:v>42657</c:v>
                </c:pt>
                <c:pt idx="118">
                  <c:v>42656</c:v>
                </c:pt>
                <c:pt idx="119">
                  <c:v>42655</c:v>
                </c:pt>
                <c:pt idx="120">
                  <c:v>42654</c:v>
                </c:pt>
                <c:pt idx="121">
                  <c:v>42653</c:v>
                </c:pt>
                <c:pt idx="122">
                  <c:v>42650</c:v>
                </c:pt>
                <c:pt idx="123">
                  <c:v>42649</c:v>
                </c:pt>
                <c:pt idx="124">
                  <c:v>42648</c:v>
                </c:pt>
                <c:pt idx="125">
                  <c:v>42647</c:v>
                </c:pt>
                <c:pt idx="126">
                  <c:v>42646</c:v>
                </c:pt>
                <c:pt idx="127">
                  <c:v>42643</c:v>
                </c:pt>
                <c:pt idx="128">
                  <c:v>42642</c:v>
                </c:pt>
                <c:pt idx="129">
                  <c:v>42641</c:v>
                </c:pt>
                <c:pt idx="130">
                  <c:v>42640</c:v>
                </c:pt>
                <c:pt idx="131">
                  <c:v>42639</c:v>
                </c:pt>
                <c:pt idx="132">
                  <c:v>42636</c:v>
                </c:pt>
                <c:pt idx="133">
                  <c:v>42635</c:v>
                </c:pt>
                <c:pt idx="134">
                  <c:v>42634</c:v>
                </c:pt>
                <c:pt idx="135">
                  <c:v>42633</c:v>
                </c:pt>
                <c:pt idx="136">
                  <c:v>42632</c:v>
                </c:pt>
                <c:pt idx="137">
                  <c:v>42629</c:v>
                </c:pt>
                <c:pt idx="138">
                  <c:v>42628</c:v>
                </c:pt>
                <c:pt idx="139">
                  <c:v>42627</c:v>
                </c:pt>
                <c:pt idx="140">
                  <c:v>42626</c:v>
                </c:pt>
                <c:pt idx="141">
                  <c:v>42625</c:v>
                </c:pt>
                <c:pt idx="142">
                  <c:v>42622</c:v>
                </c:pt>
                <c:pt idx="143">
                  <c:v>42621</c:v>
                </c:pt>
                <c:pt idx="144">
                  <c:v>42620</c:v>
                </c:pt>
                <c:pt idx="145">
                  <c:v>42619</c:v>
                </c:pt>
                <c:pt idx="146">
                  <c:v>42615</c:v>
                </c:pt>
                <c:pt idx="147">
                  <c:v>42614</c:v>
                </c:pt>
                <c:pt idx="148">
                  <c:v>42613</c:v>
                </c:pt>
                <c:pt idx="149">
                  <c:v>42612</c:v>
                </c:pt>
                <c:pt idx="150">
                  <c:v>42611</c:v>
                </c:pt>
                <c:pt idx="151">
                  <c:v>42608</c:v>
                </c:pt>
                <c:pt idx="152">
                  <c:v>42607</c:v>
                </c:pt>
                <c:pt idx="153">
                  <c:v>42606</c:v>
                </c:pt>
                <c:pt idx="154">
                  <c:v>42605</c:v>
                </c:pt>
                <c:pt idx="155">
                  <c:v>42604</c:v>
                </c:pt>
                <c:pt idx="156">
                  <c:v>42601</c:v>
                </c:pt>
                <c:pt idx="157">
                  <c:v>42600</c:v>
                </c:pt>
                <c:pt idx="158">
                  <c:v>42599</c:v>
                </c:pt>
                <c:pt idx="159">
                  <c:v>42598</c:v>
                </c:pt>
                <c:pt idx="160">
                  <c:v>42597</c:v>
                </c:pt>
                <c:pt idx="161">
                  <c:v>42594</c:v>
                </c:pt>
                <c:pt idx="162">
                  <c:v>42593</c:v>
                </c:pt>
                <c:pt idx="163">
                  <c:v>42592</c:v>
                </c:pt>
                <c:pt idx="164">
                  <c:v>42591</c:v>
                </c:pt>
                <c:pt idx="165">
                  <c:v>42590</c:v>
                </c:pt>
                <c:pt idx="166">
                  <c:v>42587</c:v>
                </c:pt>
                <c:pt idx="167">
                  <c:v>42586</c:v>
                </c:pt>
                <c:pt idx="168">
                  <c:v>42585</c:v>
                </c:pt>
                <c:pt idx="169">
                  <c:v>42584</c:v>
                </c:pt>
                <c:pt idx="170">
                  <c:v>42583</c:v>
                </c:pt>
                <c:pt idx="171">
                  <c:v>42580</c:v>
                </c:pt>
                <c:pt idx="172">
                  <c:v>42579</c:v>
                </c:pt>
                <c:pt idx="173">
                  <c:v>42578</c:v>
                </c:pt>
                <c:pt idx="174">
                  <c:v>42577</c:v>
                </c:pt>
                <c:pt idx="175">
                  <c:v>42576</c:v>
                </c:pt>
                <c:pt idx="176">
                  <c:v>42573</c:v>
                </c:pt>
                <c:pt idx="177">
                  <c:v>42572</c:v>
                </c:pt>
                <c:pt idx="178">
                  <c:v>42571</c:v>
                </c:pt>
                <c:pt idx="179">
                  <c:v>42570</c:v>
                </c:pt>
                <c:pt idx="180">
                  <c:v>42569</c:v>
                </c:pt>
                <c:pt idx="181">
                  <c:v>42566</c:v>
                </c:pt>
                <c:pt idx="182">
                  <c:v>42565</c:v>
                </c:pt>
                <c:pt idx="183">
                  <c:v>42564</c:v>
                </c:pt>
                <c:pt idx="184">
                  <c:v>42563</c:v>
                </c:pt>
                <c:pt idx="185">
                  <c:v>42562</c:v>
                </c:pt>
                <c:pt idx="186">
                  <c:v>42559</c:v>
                </c:pt>
                <c:pt idx="187">
                  <c:v>42558</c:v>
                </c:pt>
                <c:pt idx="188">
                  <c:v>42557</c:v>
                </c:pt>
                <c:pt idx="189">
                  <c:v>42556</c:v>
                </c:pt>
                <c:pt idx="190">
                  <c:v>42552</c:v>
                </c:pt>
                <c:pt idx="191">
                  <c:v>42551</c:v>
                </c:pt>
                <c:pt idx="192">
                  <c:v>42550</c:v>
                </c:pt>
                <c:pt idx="193">
                  <c:v>42549</c:v>
                </c:pt>
                <c:pt idx="194">
                  <c:v>42548</c:v>
                </c:pt>
                <c:pt idx="195">
                  <c:v>42545</c:v>
                </c:pt>
                <c:pt idx="196">
                  <c:v>42544</c:v>
                </c:pt>
                <c:pt idx="197">
                  <c:v>42543</c:v>
                </c:pt>
                <c:pt idx="198">
                  <c:v>42542</c:v>
                </c:pt>
                <c:pt idx="199">
                  <c:v>42541</c:v>
                </c:pt>
                <c:pt idx="200">
                  <c:v>42538</c:v>
                </c:pt>
                <c:pt idx="201">
                  <c:v>42537</c:v>
                </c:pt>
                <c:pt idx="202">
                  <c:v>42536</c:v>
                </c:pt>
                <c:pt idx="203">
                  <c:v>42535</c:v>
                </c:pt>
                <c:pt idx="204">
                  <c:v>42534</c:v>
                </c:pt>
                <c:pt idx="205">
                  <c:v>42531</c:v>
                </c:pt>
                <c:pt idx="206">
                  <c:v>42530</c:v>
                </c:pt>
                <c:pt idx="207">
                  <c:v>42529</c:v>
                </c:pt>
                <c:pt idx="208">
                  <c:v>42528</c:v>
                </c:pt>
                <c:pt idx="209">
                  <c:v>42527</c:v>
                </c:pt>
                <c:pt idx="210">
                  <c:v>42524</c:v>
                </c:pt>
                <c:pt idx="211">
                  <c:v>42523</c:v>
                </c:pt>
                <c:pt idx="212">
                  <c:v>42522</c:v>
                </c:pt>
                <c:pt idx="213">
                  <c:v>42521</c:v>
                </c:pt>
                <c:pt idx="214">
                  <c:v>42517</c:v>
                </c:pt>
                <c:pt idx="215">
                  <c:v>42516</c:v>
                </c:pt>
                <c:pt idx="216">
                  <c:v>42515</c:v>
                </c:pt>
                <c:pt idx="217">
                  <c:v>42514</c:v>
                </c:pt>
                <c:pt idx="218">
                  <c:v>42513</c:v>
                </c:pt>
                <c:pt idx="219">
                  <c:v>42510</c:v>
                </c:pt>
                <c:pt idx="220">
                  <c:v>42509</c:v>
                </c:pt>
                <c:pt idx="221">
                  <c:v>42508</c:v>
                </c:pt>
                <c:pt idx="222">
                  <c:v>42507</c:v>
                </c:pt>
                <c:pt idx="223">
                  <c:v>42506</c:v>
                </c:pt>
                <c:pt idx="224">
                  <c:v>42503</c:v>
                </c:pt>
                <c:pt idx="225">
                  <c:v>42502</c:v>
                </c:pt>
                <c:pt idx="226">
                  <c:v>42501</c:v>
                </c:pt>
                <c:pt idx="227">
                  <c:v>42500</c:v>
                </c:pt>
                <c:pt idx="228">
                  <c:v>42499</c:v>
                </c:pt>
                <c:pt idx="229">
                  <c:v>42496</c:v>
                </c:pt>
                <c:pt idx="230">
                  <c:v>42495</c:v>
                </c:pt>
                <c:pt idx="231">
                  <c:v>42494</c:v>
                </c:pt>
                <c:pt idx="232">
                  <c:v>42493</c:v>
                </c:pt>
                <c:pt idx="233">
                  <c:v>42492</c:v>
                </c:pt>
                <c:pt idx="234">
                  <c:v>42489</c:v>
                </c:pt>
                <c:pt idx="235">
                  <c:v>42488</c:v>
                </c:pt>
                <c:pt idx="236">
                  <c:v>42487</c:v>
                </c:pt>
                <c:pt idx="237">
                  <c:v>42486</c:v>
                </c:pt>
                <c:pt idx="238">
                  <c:v>42485</c:v>
                </c:pt>
                <c:pt idx="239">
                  <c:v>42482</c:v>
                </c:pt>
                <c:pt idx="240">
                  <c:v>42481</c:v>
                </c:pt>
                <c:pt idx="241">
                  <c:v>42480</c:v>
                </c:pt>
                <c:pt idx="242">
                  <c:v>42479</c:v>
                </c:pt>
                <c:pt idx="243">
                  <c:v>42478</c:v>
                </c:pt>
                <c:pt idx="244">
                  <c:v>42475</c:v>
                </c:pt>
                <c:pt idx="245">
                  <c:v>42474</c:v>
                </c:pt>
                <c:pt idx="246">
                  <c:v>42473</c:v>
                </c:pt>
                <c:pt idx="247">
                  <c:v>42472</c:v>
                </c:pt>
                <c:pt idx="248">
                  <c:v>42471</c:v>
                </c:pt>
                <c:pt idx="249">
                  <c:v>42468</c:v>
                </c:pt>
                <c:pt idx="250">
                  <c:v>42467</c:v>
                </c:pt>
                <c:pt idx="251">
                  <c:v>42466</c:v>
                </c:pt>
                <c:pt idx="252">
                  <c:v>42465</c:v>
                </c:pt>
              </c:numCache>
            </c:numRef>
          </c:cat>
          <c:val>
            <c:numRef>
              <c:f>'Microsoft stock price'!$E$6:$E$258</c:f>
              <c:numCache>
                <c:formatCode>General</c:formatCode>
                <c:ptCount val="253"/>
                <c:pt idx="0">
                  <c:v>65.730002999999996</c:v>
                </c:pt>
                <c:pt idx="1">
                  <c:v>65.550003000000004</c:v>
                </c:pt>
                <c:pt idx="2">
                  <c:v>65.860000999999997</c:v>
                </c:pt>
                <c:pt idx="3">
                  <c:v>65.709998999999996</c:v>
                </c:pt>
                <c:pt idx="4">
                  <c:v>65.470000999999996</c:v>
                </c:pt>
                <c:pt idx="5">
                  <c:v>65.290001000000004</c:v>
                </c:pt>
                <c:pt idx="6">
                  <c:v>65.099997999999999</c:v>
                </c:pt>
                <c:pt idx="7">
                  <c:v>64.980002999999996</c:v>
                </c:pt>
                <c:pt idx="8">
                  <c:v>64.870002999999997</c:v>
                </c:pt>
                <c:pt idx="9">
                  <c:v>65.029999000000004</c:v>
                </c:pt>
                <c:pt idx="10">
                  <c:v>64.209998999999996</c:v>
                </c:pt>
                <c:pt idx="11">
                  <c:v>64.930000000000007</c:v>
                </c:pt>
                <c:pt idx="12">
                  <c:v>64.870002999999997</c:v>
                </c:pt>
                <c:pt idx="13">
                  <c:v>64.639999000000003</c:v>
                </c:pt>
                <c:pt idx="14">
                  <c:v>64.75</c:v>
                </c:pt>
                <c:pt idx="15">
                  <c:v>64.410004000000001</c:v>
                </c:pt>
                <c:pt idx="16">
                  <c:v>64.709998999999996</c:v>
                </c:pt>
                <c:pt idx="17">
                  <c:v>64.930000000000007</c:v>
                </c:pt>
                <c:pt idx="18">
                  <c:v>64.730002999999996</c:v>
                </c:pt>
                <c:pt idx="19">
                  <c:v>64.989998</c:v>
                </c:pt>
                <c:pt idx="20">
                  <c:v>64.400002000000001</c:v>
                </c:pt>
                <c:pt idx="21">
                  <c:v>64.269997000000004</c:v>
                </c:pt>
                <c:pt idx="22">
                  <c:v>64.25</c:v>
                </c:pt>
                <c:pt idx="23">
                  <c:v>64.010002</c:v>
                </c:pt>
                <c:pt idx="24">
                  <c:v>64.940002000000007</c:v>
                </c:pt>
                <c:pt idx="25">
                  <c:v>63.98</c:v>
                </c:pt>
                <c:pt idx="26">
                  <c:v>64.230002999999996</c:v>
                </c:pt>
                <c:pt idx="27">
                  <c:v>64.620002999999997</c:v>
                </c:pt>
                <c:pt idx="28">
                  <c:v>64.620002999999997</c:v>
                </c:pt>
                <c:pt idx="29">
                  <c:v>64.360000999999997</c:v>
                </c:pt>
                <c:pt idx="30">
                  <c:v>64.489998</c:v>
                </c:pt>
                <c:pt idx="31">
                  <c:v>64.620002999999997</c:v>
                </c:pt>
                <c:pt idx="32">
                  <c:v>64.519997000000004</c:v>
                </c:pt>
                <c:pt idx="33">
                  <c:v>64.529999000000004</c:v>
                </c:pt>
                <c:pt idx="34">
                  <c:v>64.569999999999993</c:v>
                </c:pt>
                <c:pt idx="35">
                  <c:v>64.720000999999996</c:v>
                </c:pt>
                <c:pt idx="36">
                  <c:v>64</c:v>
                </c:pt>
                <c:pt idx="37">
                  <c:v>64.059997999999993</c:v>
                </c:pt>
                <c:pt idx="38">
                  <c:v>63.34</c:v>
                </c:pt>
                <c:pt idx="39">
                  <c:v>63.43</c:v>
                </c:pt>
                <c:pt idx="40">
                  <c:v>63.639999000000003</c:v>
                </c:pt>
                <c:pt idx="41">
                  <c:v>63.68</c:v>
                </c:pt>
                <c:pt idx="42">
                  <c:v>63.169998</c:v>
                </c:pt>
                <c:pt idx="43">
                  <c:v>63.580002</c:v>
                </c:pt>
                <c:pt idx="44">
                  <c:v>64.650002000000001</c:v>
                </c:pt>
                <c:pt idx="45">
                  <c:v>65.129997000000003</c:v>
                </c:pt>
                <c:pt idx="46">
                  <c:v>65.779999000000004</c:v>
                </c:pt>
                <c:pt idx="47">
                  <c:v>64.269997000000004</c:v>
                </c:pt>
                <c:pt idx="48">
                  <c:v>63.68</c:v>
                </c:pt>
                <c:pt idx="49">
                  <c:v>63.52</c:v>
                </c:pt>
                <c:pt idx="50">
                  <c:v>62.959999000000003</c:v>
                </c:pt>
                <c:pt idx="51">
                  <c:v>62.740001999999997</c:v>
                </c:pt>
                <c:pt idx="52">
                  <c:v>62.299999</c:v>
                </c:pt>
                <c:pt idx="53">
                  <c:v>62.5</c:v>
                </c:pt>
                <c:pt idx="54">
                  <c:v>62.529998999999997</c:v>
                </c:pt>
                <c:pt idx="55">
                  <c:v>62.700001</c:v>
                </c:pt>
                <c:pt idx="56">
                  <c:v>62.610000999999997</c:v>
                </c:pt>
                <c:pt idx="57">
                  <c:v>63.189999</c:v>
                </c:pt>
                <c:pt idx="58">
                  <c:v>62.619999</c:v>
                </c:pt>
                <c:pt idx="59">
                  <c:v>62.639999000000003</c:v>
                </c:pt>
                <c:pt idx="60">
                  <c:v>62.84</c:v>
                </c:pt>
                <c:pt idx="61">
                  <c:v>62.299999</c:v>
                </c:pt>
                <c:pt idx="62">
                  <c:v>62.299999</c:v>
                </c:pt>
                <c:pt idx="63">
                  <c:v>62.580002</c:v>
                </c:pt>
                <c:pt idx="64">
                  <c:v>62.139999000000003</c:v>
                </c:pt>
                <c:pt idx="65">
                  <c:v>62.900002000000001</c:v>
                </c:pt>
                <c:pt idx="66">
                  <c:v>62.990001999999997</c:v>
                </c:pt>
                <c:pt idx="67">
                  <c:v>63.279998999999997</c:v>
                </c:pt>
                <c:pt idx="68">
                  <c:v>63.240001999999997</c:v>
                </c:pt>
                <c:pt idx="69">
                  <c:v>63.549999</c:v>
                </c:pt>
                <c:pt idx="70">
                  <c:v>63.540000999999997</c:v>
                </c:pt>
                <c:pt idx="71">
                  <c:v>63.540000999999997</c:v>
                </c:pt>
                <c:pt idx="72">
                  <c:v>63.619999</c:v>
                </c:pt>
                <c:pt idx="73">
                  <c:v>62.299999</c:v>
                </c:pt>
                <c:pt idx="74">
                  <c:v>62.580002</c:v>
                </c:pt>
                <c:pt idx="75">
                  <c:v>62.68</c:v>
                </c:pt>
                <c:pt idx="76">
                  <c:v>62.98</c:v>
                </c:pt>
                <c:pt idx="77">
                  <c:v>62.169998</c:v>
                </c:pt>
                <c:pt idx="78">
                  <c:v>61.970001000000003</c:v>
                </c:pt>
                <c:pt idx="79">
                  <c:v>61.009998000000003</c:v>
                </c:pt>
                <c:pt idx="80">
                  <c:v>61.369999</c:v>
                </c:pt>
                <c:pt idx="81">
                  <c:v>59.950001</c:v>
                </c:pt>
                <c:pt idx="82">
                  <c:v>60.220001000000003</c:v>
                </c:pt>
                <c:pt idx="83">
                  <c:v>59.25</c:v>
                </c:pt>
                <c:pt idx="84">
                  <c:v>59.200001</c:v>
                </c:pt>
                <c:pt idx="85">
                  <c:v>60.259998000000003</c:v>
                </c:pt>
                <c:pt idx="86">
                  <c:v>61.09</c:v>
                </c:pt>
                <c:pt idx="87">
                  <c:v>60.610000999999997</c:v>
                </c:pt>
                <c:pt idx="88">
                  <c:v>60.529998999999997</c:v>
                </c:pt>
                <c:pt idx="89">
                  <c:v>60.400002000000001</c:v>
                </c:pt>
                <c:pt idx="90">
                  <c:v>61.119999</c:v>
                </c:pt>
                <c:pt idx="91">
                  <c:v>60.860000999999997</c:v>
                </c:pt>
                <c:pt idx="92">
                  <c:v>60.349997999999999</c:v>
                </c:pt>
                <c:pt idx="93">
                  <c:v>60.639999000000003</c:v>
                </c:pt>
                <c:pt idx="94">
                  <c:v>59.650002000000001</c:v>
                </c:pt>
                <c:pt idx="95">
                  <c:v>58.869999</c:v>
                </c:pt>
                <c:pt idx="96">
                  <c:v>58.119999</c:v>
                </c:pt>
                <c:pt idx="97">
                  <c:v>59.02</c:v>
                </c:pt>
                <c:pt idx="98">
                  <c:v>58.700001</c:v>
                </c:pt>
                <c:pt idx="99">
                  <c:v>60.169998</c:v>
                </c:pt>
                <c:pt idx="100">
                  <c:v>60.470001000000003</c:v>
                </c:pt>
                <c:pt idx="101">
                  <c:v>60.419998</c:v>
                </c:pt>
                <c:pt idx="102">
                  <c:v>58.709999000000003</c:v>
                </c:pt>
                <c:pt idx="103">
                  <c:v>59.209999000000003</c:v>
                </c:pt>
                <c:pt idx="104">
                  <c:v>59.43</c:v>
                </c:pt>
                <c:pt idx="105">
                  <c:v>59.799999</c:v>
                </c:pt>
                <c:pt idx="106">
                  <c:v>59.919998</c:v>
                </c:pt>
                <c:pt idx="107">
                  <c:v>59.869999</c:v>
                </c:pt>
                <c:pt idx="108">
                  <c:v>60.099997999999999</c:v>
                </c:pt>
                <c:pt idx="109">
                  <c:v>60.630001</c:v>
                </c:pt>
                <c:pt idx="110">
                  <c:v>60.990001999999997</c:v>
                </c:pt>
                <c:pt idx="111">
                  <c:v>61</c:v>
                </c:pt>
                <c:pt idx="112">
                  <c:v>59.66</c:v>
                </c:pt>
                <c:pt idx="113">
                  <c:v>57.25</c:v>
                </c:pt>
                <c:pt idx="114">
                  <c:v>57.529998999999997</c:v>
                </c:pt>
                <c:pt idx="115">
                  <c:v>57.66</c:v>
                </c:pt>
                <c:pt idx="116">
                  <c:v>57.220001000000003</c:v>
                </c:pt>
                <c:pt idx="117">
                  <c:v>57.419998</c:v>
                </c:pt>
                <c:pt idx="118">
                  <c:v>56.919998</c:v>
                </c:pt>
                <c:pt idx="119">
                  <c:v>57.110000999999997</c:v>
                </c:pt>
                <c:pt idx="120">
                  <c:v>57.189999</c:v>
                </c:pt>
                <c:pt idx="121">
                  <c:v>58.040000999999997</c:v>
                </c:pt>
                <c:pt idx="122">
                  <c:v>57.799999</c:v>
                </c:pt>
                <c:pt idx="123">
                  <c:v>57.740001999999997</c:v>
                </c:pt>
                <c:pt idx="124">
                  <c:v>57.639999000000003</c:v>
                </c:pt>
                <c:pt idx="125">
                  <c:v>57.240001999999997</c:v>
                </c:pt>
                <c:pt idx="126">
                  <c:v>57.419998</c:v>
                </c:pt>
                <c:pt idx="127">
                  <c:v>57.599997999999999</c:v>
                </c:pt>
                <c:pt idx="128">
                  <c:v>57.400002000000001</c:v>
                </c:pt>
                <c:pt idx="129">
                  <c:v>58.029998999999997</c:v>
                </c:pt>
                <c:pt idx="130">
                  <c:v>57.950001</c:v>
                </c:pt>
                <c:pt idx="131">
                  <c:v>56.900002000000001</c:v>
                </c:pt>
                <c:pt idx="132">
                  <c:v>57.43</c:v>
                </c:pt>
                <c:pt idx="133">
                  <c:v>57.82</c:v>
                </c:pt>
                <c:pt idx="134">
                  <c:v>57.759998000000003</c:v>
                </c:pt>
                <c:pt idx="135">
                  <c:v>56.810001</c:v>
                </c:pt>
                <c:pt idx="136">
                  <c:v>56.93</c:v>
                </c:pt>
                <c:pt idx="137">
                  <c:v>57.25</c:v>
                </c:pt>
                <c:pt idx="138">
                  <c:v>57.189999</c:v>
                </c:pt>
                <c:pt idx="139">
                  <c:v>56.259998000000003</c:v>
                </c:pt>
                <c:pt idx="140">
                  <c:v>56.529998999999997</c:v>
                </c:pt>
                <c:pt idx="141">
                  <c:v>57.049999</c:v>
                </c:pt>
                <c:pt idx="142">
                  <c:v>56.209999000000003</c:v>
                </c:pt>
                <c:pt idx="143">
                  <c:v>57.43</c:v>
                </c:pt>
                <c:pt idx="144">
                  <c:v>57.66</c:v>
                </c:pt>
                <c:pt idx="145">
                  <c:v>57.610000999999997</c:v>
                </c:pt>
                <c:pt idx="146">
                  <c:v>57.669998</c:v>
                </c:pt>
                <c:pt idx="147">
                  <c:v>57.59</c:v>
                </c:pt>
                <c:pt idx="148">
                  <c:v>57.459999000000003</c:v>
                </c:pt>
                <c:pt idx="149">
                  <c:v>57.889999000000003</c:v>
                </c:pt>
                <c:pt idx="150">
                  <c:v>58.099997999999999</c:v>
                </c:pt>
                <c:pt idx="151">
                  <c:v>58.029998999999997</c:v>
                </c:pt>
                <c:pt idx="152">
                  <c:v>58.169998</c:v>
                </c:pt>
                <c:pt idx="153">
                  <c:v>57.950001</c:v>
                </c:pt>
                <c:pt idx="154">
                  <c:v>57.889999000000003</c:v>
                </c:pt>
                <c:pt idx="155">
                  <c:v>57.669998</c:v>
                </c:pt>
                <c:pt idx="156">
                  <c:v>57.619999</c:v>
                </c:pt>
                <c:pt idx="157">
                  <c:v>57.599997999999999</c:v>
                </c:pt>
                <c:pt idx="158">
                  <c:v>57.560001</c:v>
                </c:pt>
                <c:pt idx="159">
                  <c:v>57.439999</c:v>
                </c:pt>
                <c:pt idx="160">
                  <c:v>58.119999</c:v>
                </c:pt>
                <c:pt idx="161">
                  <c:v>57.939999</c:v>
                </c:pt>
                <c:pt idx="162">
                  <c:v>58.299999</c:v>
                </c:pt>
                <c:pt idx="163">
                  <c:v>58.02</c:v>
                </c:pt>
                <c:pt idx="164">
                  <c:v>58.200001</c:v>
                </c:pt>
                <c:pt idx="165">
                  <c:v>58.060001</c:v>
                </c:pt>
                <c:pt idx="166">
                  <c:v>57.959999000000003</c:v>
                </c:pt>
                <c:pt idx="167">
                  <c:v>57.389999000000003</c:v>
                </c:pt>
                <c:pt idx="168">
                  <c:v>56.970001000000003</c:v>
                </c:pt>
                <c:pt idx="169">
                  <c:v>56.580002</c:v>
                </c:pt>
                <c:pt idx="170">
                  <c:v>56.580002</c:v>
                </c:pt>
                <c:pt idx="171">
                  <c:v>56.68</c:v>
                </c:pt>
                <c:pt idx="172">
                  <c:v>56.209999000000003</c:v>
                </c:pt>
                <c:pt idx="173">
                  <c:v>56.189999</c:v>
                </c:pt>
                <c:pt idx="174">
                  <c:v>56.759998000000003</c:v>
                </c:pt>
                <c:pt idx="175">
                  <c:v>56.73</c:v>
                </c:pt>
                <c:pt idx="176">
                  <c:v>56.57</c:v>
                </c:pt>
                <c:pt idx="177">
                  <c:v>55.799999</c:v>
                </c:pt>
                <c:pt idx="178">
                  <c:v>55.91</c:v>
                </c:pt>
                <c:pt idx="179">
                  <c:v>53.09</c:v>
                </c:pt>
                <c:pt idx="180">
                  <c:v>53.959999000000003</c:v>
                </c:pt>
                <c:pt idx="181">
                  <c:v>53.700001</c:v>
                </c:pt>
                <c:pt idx="182">
                  <c:v>53.740001999999997</c:v>
                </c:pt>
                <c:pt idx="183">
                  <c:v>53.509998000000003</c:v>
                </c:pt>
                <c:pt idx="184">
                  <c:v>53.209999000000003</c:v>
                </c:pt>
                <c:pt idx="185">
                  <c:v>52.59</c:v>
                </c:pt>
                <c:pt idx="186">
                  <c:v>52.299999</c:v>
                </c:pt>
                <c:pt idx="187">
                  <c:v>51.380001</c:v>
                </c:pt>
                <c:pt idx="188">
                  <c:v>51.380001</c:v>
                </c:pt>
                <c:pt idx="189">
                  <c:v>51.169998</c:v>
                </c:pt>
                <c:pt idx="190">
                  <c:v>51.16</c:v>
                </c:pt>
                <c:pt idx="191">
                  <c:v>51.169998</c:v>
                </c:pt>
                <c:pt idx="192">
                  <c:v>50.540000999999997</c:v>
                </c:pt>
                <c:pt idx="193">
                  <c:v>49.439999</c:v>
                </c:pt>
                <c:pt idx="194">
                  <c:v>48.43</c:v>
                </c:pt>
                <c:pt idx="195">
                  <c:v>49.830002</c:v>
                </c:pt>
                <c:pt idx="196">
                  <c:v>51.91</c:v>
                </c:pt>
                <c:pt idx="197">
                  <c:v>50.990001999999997</c:v>
                </c:pt>
                <c:pt idx="198">
                  <c:v>51.189999</c:v>
                </c:pt>
                <c:pt idx="199">
                  <c:v>50.07</c:v>
                </c:pt>
                <c:pt idx="200">
                  <c:v>50.130001</c:v>
                </c:pt>
                <c:pt idx="201">
                  <c:v>50.389999000000003</c:v>
                </c:pt>
                <c:pt idx="202">
                  <c:v>49.689999</c:v>
                </c:pt>
                <c:pt idx="203">
                  <c:v>49.830002</c:v>
                </c:pt>
                <c:pt idx="204">
                  <c:v>50.139999000000003</c:v>
                </c:pt>
                <c:pt idx="205">
                  <c:v>51.48</c:v>
                </c:pt>
                <c:pt idx="206">
                  <c:v>51.619999</c:v>
                </c:pt>
                <c:pt idx="207">
                  <c:v>52.040000999999997</c:v>
                </c:pt>
                <c:pt idx="208">
                  <c:v>52.099997999999999</c:v>
                </c:pt>
                <c:pt idx="209">
                  <c:v>52.130001</c:v>
                </c:pt>
                <c:pt idx="210">
                  <c:v>51.790000999999997</c:v>
                </c:pt>
                <c:pt idx="211">
                  <c:v>52.48</c:v>
                </c:pt>
                <c:pt idx="212">
                  <c:v>52.849997999999999</c:v>
                </c:pt>
                <c:pt idx="213">
                  <c:v>53</c:v>
                </c:pt>
                <c:pt idx="214">
                  <c:v>52.32</c:v>
                </c:pt>
                <c:pt idx="215">
                  <c:v>51.889999000000003</c:v>
                </c:pt>
                <c:pt idx="216">
                  <c:v>52.119999</c:v>
                </c:pt>
                <c:pt idx="217">
                  <c:v>51.59</c:v>
                </c:pt>
                <c:pt idx="218">
                  <c:v>50.029998999999997</c:v>
                </c:pt>
                <c:pt idx="219">
                  <c:v>50.619999</c:v>
                </c:pt>
                <c:pt idx="220">
                  <c:v>50.32</c:v>
                </c:pt>
                <c:pt idx="221">
                  <c:v>50.810001</c:v>
                </c:pt>
                <c:pt idx="222">
                  <c:v>50.509998000000003</c:v>
                </c:pt>
                <c:pt idx="223">
                  <c:v>51.830002</c:v>
                </c:pt>
                <c:pt idx="224">
                  <c:v>51.080002</c:v>
                </c:pt>
                <c:pt idx="225">
                  <c:v>51.509998000000003</c:v>
                </c:pt>
                <c:pt idx="226">
                  <c:v>51.049999</c:v>
                </c:pt>
                <c:pt idx="227">
                  <c:v>51.02</c:v>
                </c:pt>
                <c:pt idx="228">
                  <c:v>50.07</c:v>
                </c:pt>
                <c:pt idx="229">
                  <c:v>50.389999000000003</c:v>
                </c:pt>
                <c:pt idx="230">
                  <c:v>49.939999</c:v>
                </c:pt>
                <c:pt idx="231">
                  <c:v>49.869999</c:v>
                </c:pt>
                <c:pt idx="232">
                  <c:v>49.779998999999997</c:v>
                </c:pt>
                <c:pt idx="233">
                  <c:v>50.610000999999997</c:v>
                </c:pt>
                <c:pt idx="234">
                  <c:v>49.869999</c:v>
                </c:pt>
                <c:pt idx="235">
                  <c:v>49.900002000000001</c:v>
                </c:pt>
                <c:pt idx="236">
                  <c:v>50.939999</c:v>
                </c:pt>
                <c:pt idx="237">
                  <c:v>51.439999</c:v>
                </c:pt>
                <c:pt idx="238">
                  <c:v>52.110000999999997</c:v>
                </c:pt>
                <c:pt idx="239">
                  <c:v>51.779998999999997</c:v>
                </c:pt>
                <c:pt idx="240">
                  <c:v>55.779998999999997</c:v>
                </c:pt>
                <c:pt idx="241">
                  <c:v>55.59</c:v>
                </c:pt>
                <c:pt idx="242">
                  <c:v>56.389999000000003</c:v>
                </c:pt>
                <c:pt idx="243">
                  <c:v>56.459999000000003</c:v>
                </c:pt>
                <c:pt idx="244">
                  <c:v>55.650002000000001</c:v>
                </c:pt>
                <c:pt idx="245">
                  <c:v>55.360000999999997</c:v>
                </c:pt>
                <c:pt idx="246">
                  <c:v>55.349997999999999</c:v>
                </c:pt>
                <c:pt idx="247">
                  <c:v>54.650002000000001</c:v>
                </c:pt>
                <c:pt idx="248">
                  <c:v>54.310001</c:v>
                </c:pt>
                <c:pt idx="249">
                  <c:v>54.419998</c:v>
                </c:pt>
                <c:pt idx="250">
                  <c:v>54.459999000000003</c:v>
                </c:pt>
                <c:pt idx="251">
                  <c:v>55.119999</c:v>
                </c:pt>
                <c:pt idx="252">
                  <c:v>54.560001</c:v>
                </c:pt>
              </c:numCache>
            </c:numRef>
          </c:val>
          <c:smooth val="0"/>
        </c:ser>
        <c:ser>
          <c:idx val="1"/>
          <c:order val="1"/>
          <c:tx>
            <c:v>Adj Close</c:v>
          </c:tx>
          <c:spPr>
            <a:ln w="28575" cap="rnd">
              <a:solidFill>
                <a:schemeClr val="accent2"/>
              </a:solidFill>
              <a:round/>
            </a:ln>
            <a:effectLst/>
          </c:spPr>
          <c:marker>
            <c:symbol val="none"/>
          </c:marker>
          <c:cat>
            <c:numRef>
              <c:f>'Microsoft stock price'!$A$6:$A$258</c:f>
              <c:numCache>
                <c:formatCode>m/d/yyyy</c:formatCode>
                <c:ptCount val="253"/>
                <c:pt idx="0">
                  <c:v>42829</c:v>
                </c:pt>
                <c:pt idx="1">
                  <c:v>42828</c:v>
                </c:pt>
                <c:pt idx="2">
                  <c:v>42825</c:v>
                </c:pt>
                <c:pt idx="3">
                  <c:v>42824</c:v>
                </c:pt>
                <c:pt idx="4">
                  <c:v>42823</c:v>
                </c:pt>
                <c:pt idx="5">
                  <c:v>42822</c:v>
                </c:pt>
                <c:pt idx="6">
                  <c:v>42821</c:v>
                </c:pt>
                <c:pt idx="7">
                  <c:v>42818</c:v>
                </c:pt>
                <c:pt idx="8">
                  <c:v>42817</c:v>
                </c:pt>
                <c:pt idx="9">
                  <c:v>42816</c:v>
                </c:pt>
                <c:pt idx="10">
                  <c:v>42815</c:v>
                </c:pt>
                <c:pt idx="11">
                  <c:v>42814</c:v>
                </c:pt>
                <c:pt idx="12">
                  <c:v>42811</c:v>
                </c:pt>
                <c:pt idx="13">
                  <c:v>42810</c:v>
                </c:pt>
                <c:pt idx="14">
                  <c:v>42809</c:v>
                </c:pt>
                <c:pt idx="15">
                  <c:v>42808</c:v>
                </c:pt>
                <c:pt idx="16">
                  <c:v>42807</c:v>
                </c:pt>
                <c:pt idx="17">
                  <c:v>42804</c:v>
                </c:pt>
                <c:pt idx="18">
                  <c:v>42803</c:v>
                </c:pt>
                <c:pt idx="19">
                  <c:v>42802</c:v>
                </c:pt>
                <c:pt idx="20">
                  <c:v>42801</c:v>
                </c:pt>
                <c:pt idx="21">
                  <c:v>42800</c:v>
                </c:pt>
                <c:pt idx="22">
                  <c:v>42797</c:v>
                </c:pt>
                <c:pt idx="23">
                  <c:v>42796</c:v>
                </c:pt>
                <c:pt idx="24">
                  <c:v>42795</c:v>
                </c:pt>
                <c:pt idx="25">
                  <c:v>42794</c:v>
                </c:pt>
                <c:pt idx="26">
                  <c:v>42793</c:v>
                </c:pt>
                <c:pt idx="27">
                  <c:v>42790</c:v>
                </c:pt>
                <c:pt idx="28">
                  <c:v>42789</c:v>
                </c:pt>
                <c:pt idx="29">
                  <c:v>42788</c:v>
                </c:pt>
                <c:pt idx="30">
                  <c:v>42787</c:v>
                </c:pt>
                <c:pt idx="31">
                  <c:v>42783</c:v>
                </c:pt>
                <c:pt idx="32">
                  <c:v>42782</c:v>
                </c:pt>
                <c:pt idx="33">
                  <c:v>42781</c:v>
                </c:pt>
                <c:pt idx="34">
                  <c:v>42780</c:v>
                </c:pt>
                <c:pt idx="35">
                  <c:v>42779</c:v>
                </c:pt>
                <c:pt idx="36">
                  <c:v>42776</c:v>
                </c:pt>
                <c:pt idx="37">
                  <c:v>42775</c:v>
                </c:pt>
                <c:pt idx="38">
                  <c:v>42774</c:v>
                </c:pt>
                <c:pt idx="39">
                  <c:v>42773</c:v>
                </c:pt>
                <c:pt idx="40">
                  <c:v>42772</c:v>
                </c:pt>
                <c:pt idx="41">
                  <c:v>42769</c:v>
                </c:pt>
                <c:pt idx="42">
                  <c:v>42768</c:v>
                </c:pt>
                <c:pt idx="43">
                  <c:v>42767</c:v>
                </c:pt>
                <c:pt idx="44">
                  <c:v>42766</c:v>
                </c:pt>
                <c:pt idx="45">
                  <c:v>42765</c:v>
                </c:pt>
                <c:pt idx="46">
                  <c:v>42762</c:v>
                </c:pt>
                <c:pt idx="47">
                  <c:v>42761</c:v>
                </c:pt>
                <c:pt idx="48">
                  <c:v>42760</c:v>
                </c:pt>
                <c:pt idx="49">
                  <c:v>42759</c:v>
                </c:pt>
                <c:pt idx="50">
                  <c:v>42758</c:v>
                </c:pt>
                <c:pt idx="51">
                  <c:v>42755</c:v>
                </c:pt>
                <c:pt idx="52">
                  <c:v>42754</c:v>
                </c:pt>
                <c:pt idx="53">
                  <c:v>42753</c:v>
                </c:pt>
                <c:pt idx="54">
                  <c:v>42752</c:v>
                </c:pt>
                <c:pt idx="55">
                  <c:v>42748</c:v>
                </c:pt>
                <c:pt idx="56">
                  <c:v>42747</c:v>
                </c:pt>
                <c:pt idx="57">
                  <c:v>42746</c:v>
                </c:pt>
                <c:pt idx="58">
                  <c:v>42745</c:v>
                </c:pt>
                <c:pt idx="59">
                  <c:v>42744</c:v>
                </c:pt>
                <c:pt idx="60">
                  <c:v>42741</c:v>
                </c:pt>
                <c:pt idx="61">
                  <c:v>42740</c:v>
                </c:pt>
                <c:pt idx="62">
                  <c:v>42739</c:v>
                </c:pt>
                <c:pt idx="63">
                  <c:v>42738</c:v>
                </c:pt>
                <c:pt idx="64">
                  <c:v>42734</c:v>
                </c:pt>
                <c:pt idx="65">
                  <c:v>42733</c:v>
                </c:pt>
                <c:pt idx="66">
                  <c:v>42732</c:v>
                </c:pt>
                <c:pt idx="67">
                  <c:v>42731</c:v>
                </c:pt>
                <c:pt idx="68">
                  <c:v>42727</c:v>
                </c:pt>
                <c:pt idx="69">
                  <c:v>42726</c:v>
                </c:pt>
                <c:pt idx="70">
                  <c:v>42725</c:v>
                </c:pt>
                <c:pt idx="71">
                  <c:v>42724</c:v>
                </c:pt>
                <c:pt idx="72">
                  <c:v>42723</c:v>
                </c:pt>
                <c:pt idx="73">
                  <c:v>42720</c:v>
                </c:pt>
                <c:pt idx="74">
                  <c:v>42719</c:v>
                </c:pt>
                <c:pt idx="75">
                  <c:v>42718</c:v>
                </c:pt>
                <c:pt idx="76">
                  <c:v>42717</c:v>
                </c:pt>
                <c:pt idx="77">
                  <c:v>42716</c:v>
                </c:pt>
                <c:pt idx="78">
                  <c:v>42713</c:v>
                </c:pt>
                <c:pt idx="79">
                  <c:v>42712</c:v>
                </c:pt>
                <c:pt idx="80">
                  <c:v>42711</c:v>
                </c:pt>
                <c:pt idx="81">
                  <c:v>42710</c:v>
                </c:pt>
                <c:pt idx="82">
                  <c:v>42709</c:v>
                </c:pt>
                <c:pt idx="83">
                  <c:v>42706</c:v>
                </c:pt>
                <c:pt idx="84">
                  <c:v>42705</c:v>
                </c:pt>
                <c:pt idx="85">
                  <c:v>42704</c:v>
                </c:pt>
                <c:pt idx="86">
                  <c:v>42703</c:v>
                </c:pt>
                <c:pt idx="87">
                  <c:v>42702</c:v>
                </c:pt>
                <c:pt idx="88">
                  <c:v>42699</c:v>
                </c:pt>
                <c:pt idx="89">
                  <c:v>42697</c:v>
                </c:pt>
                <c:pt idx="90">
                  <c:v>42696</c:v>
                </c:pt>
                <c:pt idx="91">
                  <c:v>42695</c:v>
                </c:pt>
                <c:pt idx="92">
                  <c:v>42692</c:v>
                </c:pt>
                <c:pt idx="93">
                  <c:v>42691</c:v>
                </c:pt>
                <c:pt idx="94">
                  <c:v>42690</c:v>
                </c:pt>
                <c:pt idx="95">
                  <c:v>42689</c:v>
                </c:pt>
                <c:pt idx="96">
                  <c:v>42688</c:v>
                </c:pt>
                <c:pt idx="97">
                  <c:v>42685</c:v>
                </c:pt>
                <c:pt idx="98">
                  <c:v>42684</c:v>
                </c:pt>
                <c:pt idx="99">
                  <c:v>42683</c:v>
                </c:pt>
                <c:pt idx="100">
                  <c:v>42682</c:v>
                </c:pt>
                <c:pt idx="101">
                  <c:v>42681</c:v>
                </c:pt>
                <c:pt idx="102">
                  <c:v>42678</c:v>
                </c:pt>
                <c:pt idx="103">
                  <c:v>42677</c:v>
                </c:pt>
                <c:pt idx="104">
                  <c:v>42676</c:v>
                </c:pt>
                <c:pt idx="105">
                  <c:v>42675</c:v>
                </c:pt>
                <c:pt idx="106">
                  <c:v>42674</c:v>
                </c:pt>
                <c:pt idx="107">
                  <c:v>42671</c:v>
                </c:pt>
                <c:pt idx="108">
                  <c:v>42670</c:v>
                </c:pt>
                <c:pt idx="109">
                  <c:v>42669</c:v>
                </c:pt>
                <c:pt idx="110">
                  <c:v>42668</c:v>
                </c:pt>
                <c:pt idx="111">
                  <c:v>42667</c:v>
                </c:pt>
                <c:pt idx="112">
                  <c:v>42664</c:v>
                </c:pt>
                <c:pt idx="113">
                  <c:v>42663</c:v>
                </c:pt>
                <c:pt idx="114">
                  <c:v>42662</c:v>
                </c:pt>
                <c:pt idx="115">
                  <c:v>42661</c:v>
                </c:pt>
                <c:pt idx="116">
                  <c:v>42660</c:v>
                </c:pt>
                <c:pt idx="117">
                  <c:v>42657</c:v>
                </c:pt>
                <c:pt idx="118">
                  <c:v>42656</c:v>
                </c:pt>
                <c:pt idx="119">
                  <c:v>42655</c:v>
                </c:pt>
                <c:pt idx="120">
                  <c:v>42654</c:v>
                </c:pt>
                <c:pt idx="121">
                  <c:v>42653</c:v>
                </c:pt>
                <c:pt idx="122">
                  <c:v>42650</c:v>
                </c:pt>
                <c:pt idx="123">
                  <c:v>42649</c:v>
                </c:pt>
                <c:pt idx="124">
                  <c:v>42648</c:v>
                </c:pt>
                <c:pt idx="125">
                  <c:v>42647</c:v>
                </c:pt>
                <c:pt idx="126">
                  <c:v>42646</c:v>
                </c:pt>
                <c:pt idx="127">
                  <c:v>42643</c:v>
                </c:pt>
                <c:pt idx="128">
                  <c:v>42642</c:v>
                </c:pt>
                <c:pt idx="129">
                  <c:v>42641</c:v>
                </c:pt>
                <c:pt idx="130">
                  <c:v>42640</c:v>
                </c:pt>
                <c:pt idx="131">
                  <c:v>42639</c:v>
                </c:pt>
                <c:pt idx="132">
                  <c:v>42636</c:v>
                </c:pt>
                <c:pt idx="133">
                  <c:v>42635</c:v>
                </c:pt>
                <c:pt idx="134">
                  <c:v>42634</c:v>
                </c:pt>
                <c:pt idx="135">
                  <c:v>42633</c:v>
                </c:pt>
                <c:pt idx="136">
                  <c:v>42632</c:v>
                </c:pt>
                <c:pt idx="137">
                  <c:v>42629</c:v>
                </c:pt>
                <c:pt idx="138">
                  <c:v>42628</c:v>
                </c:pt>
                <c:pt idx="139">
                  <c:v>42627</c:v>
                </c:pt>
                <c:pt idx="140">
                  <c:v>42626</c:v>
                </c:pt>
                <c:pt idx="141">
                  <c:v>42625</c:v>
                </c:pt>
                <c:pt idx="142">
                  <c:v>42622</c:v>
                </c:pt>
                <c:pt idx="143">
                  <c:v>42621</c:v>
                </c:pt>
                <c:pt idx="144">
                  <c:v>42620</c:v>
                </c:pt>
                <c:pt idx="145">
                  <c:v>42619</c:v>
                </c:pt>
                <c:pt idx="146">
                  <c:v>42615</c:v>
                </c:pt>
                <c:pt idx="147">
                  <c:v>42614</c:v>
                </c:pt>
                <c:pt idx="148">
                  <c:v>42613</c:v>
                </c:pt>
                <c:pt idx="149">
                  <c:v>42612</c:v>
                </c:pt>
                <c:pt idx="150">
                  <c:v>42611</c:v>
                </c:pt>
                <c:pt idx="151">
                  <c:v>42608</c:v>
                </c:pt>
                <c:pt idx="152">
                  <c:v>42607</c:v>
                </c:pt>
                <c:pt idx="153">
                  <c:v>42606</c:v>
                </c:pt>
                <c:pt idx="154">
                  <c:v>42605</c:v>
                </c:pt>
                <c:pt idx="155">
                  <c:v>42604</c:v>
                </c:pt>
                <c:pt idx="156">
                  <c:v>42601</c:v>
                </c:pt>
                <c:pt idx="157">
                  <c:v>42600</c:v>
                </c:pt>
                <c:pt idx="158">
                  <c:v>42599</c:v>
                </c:pt>
                <c:pt idx="159">
                  <c:v>42598</c:v>
                </c:pt>
                <c:pt idx="160">
                  <c:v>42597</c:v>
                </c:pt>
                <c:pt idx="161">
                  <c:v>42594</c:v>
                </c:pt>
                <c:pt idx="162">
                  <c:v>42593</c:v>
                </c:pt>
                <c:pt idx="163">
                  <c:v>42592</c:v>
                </c:pt>
                <c:pt idx="164">
                  <c:v>42591</c:v>
                </c:pt>
                <c:pt idx="165">
                  <c:v>42590</c:v>
                </c:pt>
                <c:pt idx="166">
                  <c:v>42587</c:v>
                </c:pt>
                <c:pt idx="167">
                  <c:v>42586</c:v>
                </c:pt>
                <c:pt idx="168">
                  <c:v>42585</c:v>
                </c:pt>
                <c:pt idx="169">
                  <c:v>42584</c:v>
                </c:pt>
                <c:pt idx="170">
                  <c:v>42583</c:v>
                </c:pt>
                <c:pt idx="171">
                  <c:v>42580</c:v>
                </c:pt>
                <c:pt idx="172">
                  <c:v>42579</c:v>
                </c:pt>
                <c:pt idx="173">
                  <c:v>42578</c:v>
                </c:pt>
                <c:pt idx="174">
                  <c:v>42577</c:v>
                </c:pt>
                <c:pt idx="175">
                  <c:v>42576</c:v>
                </c:pt>
                <c:pt idx="176">
                  <c:v>42573</c:v>
                </c:pt>
                <c:pt idx="177">
                  <c:v>42572</c:v>
                </c:pt>
                <c:pt idx="178">
                  <c:v>42571</c:v>
                </c:pt>
                <c:pt idx="179">
                  <c:v>42570</c:v>
                </c:pt>
                <c:pt idx="180">
                  <c:v>42569</c:v>
                </c:pt>
                <c:pt idx="181">
                  <c:v>42566</c:v>
                </c:pt>
                <c:pt idx="182">
                  <c:v>42565</c:v>
                </c:pt>
                <c:pt idx="183">
                  <c:v>42564</c:v>
                </c:pt>
                <c:pt idx="184">
                  <c:v>42563</c:v>
                </c:pt>
                <c:pt idx="185">
                  <c:v>42562</c:v>
                </c:pt>
                <c:pt idx="186">
                  <c:v>42559</c:v>
                </c:pt>
                <c:pt idx="187">
                  <c:v>42558</c:v>
                </c:pt>
                <c:pt idx="188">
                  <c:v>42557</c:v>
                </c:pt>
                <c:pt idx="189">
                  <c:v>42556</c:v>
                </c:pt>
                <c:pt idx="190">
                  <c:v>42552</c:v>
                </c:pt>
                <c:pt idx="191">
                  <c:v>42551</c:v>
                </c:pt>
                <c:pt idx="192">
                  <c:v>42550</c:v>
                </c:pt>
                <c:pt idx="193">
                  <c:v>42549</c:v>
                </c:pt>
                <c:pt idx="194">
                  <c:v>42548</c:v>
                </c:pt>
                <c:pt idx="195">
                  <c:v>42545</c:v>
                </c:pt>
                <c:pt idx="196">
                  <c:v>42544</c:v>
                </c:pt>
                <c:pt idx="197">
                  <c:v>42543</c:v>
                </c:pt>
                <c:pt idx="198">
                  <c:v>42542</c:v>
                </c:pt>
                <c:pt idx="199">
                  <c:v>42541</c:v>
                </c:pt>
                <c:pt idx="200">
                  <c:v>42538</c:v>
                </c:pt>
                <c:pt idx="201">
                  <c:v>42537</c:v>
                </c:pt>
                <c:pt idx="202">
                  <c:v>42536</c:v>
                </c:pt>
                <c:pt idx="203">
                  <c:v>42535</c:v>
                </c:pt>
                <c:pt idx="204">
                  <c:v>42534</c:v>
                </c:pt>
                <c:pt idx="205">
                  <c:v>42531</c:v>
                </c:pt>
                <c:pt idx="206">
                  <c:v>42530</c:v>
                </c:pt>
                <c:pt idx="207">
                  <c:v>42529</c:v>
                </c:pt>
                <c:pt idx="208">
                  <c:v>42528</c:v>
                </c:pt>
                <c:pt idx="209">
                  <c:v>42527</c:v>
                </c:pt>
                <c:pt idx="210">
                  <c:v>42524</c:v>
                </c:pt>
                <c:pt idx="211">
                  <c:v>42523</c:v>
                </c:pt>
                <c:pt idx="212">
                  <c:v>42522</c:v>
                </c:pt>
                <c:pt idx="213">
                  <c:v>42521</c:v>
                </c:pt>
                <c:pt idx="214">
                  <c:v>42517</c:v>
                </c:pt>
                <c:pt idx="215">
                  <c:v>42516</c:v>
                </c:pt>
                <c:pt idx="216">
                  <c:v>42515</c:v>
                </c:pt>
                <c:pt idx="217">
                  <c:v>42514</c:v>
                </c:pt>
                <c:pt idx="218">
                  <c:v>42513</c:v>
                </c:pt>
                <c:pt idx="219">
                  <c:v>42510</c:v>
                </c:pt>
                <c:pt idx="220">
                  <c:v>42509</c:v>
                </c:pt>
                <c:pt idx="221">
                  <c:v>42508</c:v>
                </c:pt>
                <c:pt idx="222">
                  <c:v>42507</c:v>
                </c:pt>
                <c:pt idx="223">
                  <c:v>42506</c:v>
                </c:pt>
                <c:pt idx="224">
                  <c:v>42503</c:v>
                </c:pt>
                <c:pt idx="225">
                  <c:v>42502</c:v>
                </c:pt>
                <c:pt idx="226">
                  <c:v>42501</c:v>
                </c:pt>
                <c:pt idx="227">
                  <c:v>42500</c:v>
                </c:pt>
                <c:pt idx="228">
                  <c:v>42499</c:v>
                </c:pt>
                <c:pt idx="229">
                  <c:v>42496</c:v>
                </c:pt>
                <c:pt idx="230">
                  <c:v>42495</c:v>
                </c:pt>
                <c:pt idx="231">
                  <c:v>42494</c:v>
                </c:pt>
                <c:pt idx="232">
                  <c:v>42493</c:v>
                </c:pt>
                <c:pt idx="233">
                  <c:v>42492</c:v>
                </c:pt>
                <c:pt idx="234">
                  <c:v>42489</c:v>
                </c:pt>
                <c:pt idx="235">
                  <c:v>42488</c:v>
                </c:pt>
                <c:pt idx="236">
                  <c:v>42487</c:v>
                </c:pt>
                <c:pt idx="237">
                  <c:v>42486</c:v>
                </c:pt>
                <c:pt idx="238">
                  <c:v>42485</c:v>
                </c:pt>
                <c:pt idx="239">
                  <c:v>42482</c:v>
                </c:pt>
                <c:pt idx="240">
                  <c:v>42481</c:v>
                </c:pt>
                <c:pt idx="241">
                  <c:v>42480</c:v>
                </c:pt>
                <c:pt idx="242">
                  <c:v>42479</c:v>
                </c:pt>
                <c:pt idx="243">
                  <c:v>42478</c:v>
                </c:pt>
                <c:pt idx="244">
                  <c:v>42475</c:v>
                </c:pt>
                <c:pt idx="245">
                  <c:v>42474</c:v>
                </c:pt>
                <c:pt idx="246">
                  <c:v>42473</c:v>
                </c:pt>
                <c:pt idx="247">
                  <c:v>42472</c:v>
                </c:pt>
                <c:pt idx="248">
                  <c:v>42471</c:v>
                </c:pt>
                <c:pt idx="249">
                  <c:v>42468</c:v>
                </c:pt>
                <c:pt idx="250">
                  <c:v>42467</c:v>
                </c:pt>
                <c:pt idx="251">
                  <c:v>42466</c:v>
                </c:pt>
                <c:pt idx="252">
                  <c:v>42465</c:v>
                </c:pt>
              </c:numCache>
            </c:numRef>
          </c:cat>
          <c:val>
            <c:numRef>
              <c:f>'Microsoft stock price'!$G$6:$G$258</c:f>
              <c:numCache>
                <c:formatCode>General</c:formatCode>
                <c:ptCount val="253"/>
                <c:pt idx="0">
                  <c:v>65.730002999999996</c:v>
                </c:pt>
                <c:pt idx="1">
                  <c:v>65.550003000000004</c:v>
                </c:pt>
                <c:pt idx="2">
                  <c:v>65.860000999999997</c:v>
                </c:pt>
                <c:pt idx="3">
                  <c:v>65.709998999999996</c:v>
                </c:pt>
                <c:pt idx="4">
                  <c:v>65.470000999999996</c:v>
                </c:pt>
                <c:pt idx="5">
                  <c:v>65.290001000000004</c:v>
                </c:pt>
                <c:pt idx="6">
                  <c:v>65.099997999999999</c:v>
                </c:pt>
                <c:pt idx="7">
                  <c:v>64.980002999999996</c:v>
                </c:pt>
                <c:pt idx="8">
                  <c:v>64.870002999999997</c:v>
                </c:pt>
                <c:pt idx="9">
                  <c:v>65.029999000000004</c:v>
                </c:pt>
                <c:pt idx="10">
                  <c:v>64.209998999999996</c:v>
                </c:pt>
                <c:pt idx="11">
                  <c:v>64.930000000000007</c:v>
                </c:pt>
                <c:pt idx="12">
                  <c:v>64.870002999999997</c:v>
                </c:pt>
                <c:pt idx="13">
                  <c:v>64.639999000000003</c:v>
                </c:pt>
                <c:pt idx="14">
                  <c:v>64.75</c:v>
                </c:pt>
                <c:pt idx="15">
                  <c:v>64.410004000000001</c:v>
                </c:pt>
                <c:pt idx="16">
                  <c:v>64.709998999999996</c:v>
                </c:pt>
                <c:pt idx="17">
                  <c:v>64.930000000000007</c:v>
                </c:pt>
                <c:pt idx="18">
                  <c:v>64.730002999999996</c:v>
                </c:pt>
                <c:pt idx="19">
                  <c:v>64.989998</c:v>
                </c:pt>
                <c:pt idx="20">
                  <c:v>64.400002000000001</c:v>
                </c:pt>
                <c:pt idx="21">
                  <c:v>64.269997000000004</c:v>
                </c:pt>
                <c:pt idx="22">
                  <c:v>64.25</c:v>
                </c:pt>
                <c:pt idx="23">
                  <c:v>64.010002</c:v>
                </c:pt>
                <c:pt idx="24">
                  <c:v>64.940002000000007</c:v>
                </c:pt>
                <c:pt idx="25">
                  <c:v>63.98</c:v>
                </c:pt>
                <c:pt idx="26">
                  <c:v>64.230002999999996</c:v>
                </c:pt>
                <c:pt idx="27">
                  <c:v>64.620002999999997</c:v>
                </c:pt>
                <c:pt idx="28">
                  <c:v>64.620002999999997</c:v>
                </c:pt>
                <c:pt idx="29">
                  <c:v>64.360000999999997</c:v>
                </c:pt>
                <c:pt idx="30">
                  <c:v>64.489998</c:v>
                </c:pt>
                <c:pt idx="31">
                  <c:v>64.620002999999997</c:v>
                </c:pt>
                <c:pt idx="32">
                  <c:v>64.519997000000004</c:v>
                </c:pt>
                <c:pt idx="33">
                  <c:v>64.529999000000004</c:v>
                </c:pt>
                <c:pt idx="34">
                  <c:v>64.569999999999993</c:v>
                </c:pt>
                <c:pt idx="35">
                  <c:v>64.33</c:v>
                </c:pt>
                <c:pt idx="36">
                  <c:v>63.614337999999996</c:v>
                </c:pt>
                <c:pt idx="37">
                  <c:v>63.673974000000001</c:v>
                </c:pt>
                <c:pt idx="38">
                  <c:v>62.958314999999999</c:v>
                </c:pt>
                <c:pt idx="39">
                  <c:v>63.047772999999999</c:v>
                </c:pt>
                <c:pt idx="40">
                  <c:v>63.256506999999999</c:v>
                </c:pt>
                <c:pt idx="41">
                  <c:v>63.296267</c:v>
                </c:pt>
                <c:pt idx="42">
                  <c:v>62.789338000000001</c:v>
                </c:pt>
                <c:pt idx="43">
                  <c:v>63.196871000000002</c:v>
                </c:pt>
                <c:pt idx="44">
                  <c:v>64.260423000000003</c:v>
                </c:pt>
                <c:pt idx="45">
                  <c:v>64.737526000000003</c:v>
                </c:pt>
                <c:pt idx="46">
                  <c:v>65.383610000000004</c:v>
                </c:pt>
                <c:pt idx="47">
                  <c:v>63.882708000000001</c:v>
                </c:pt>
                <c:pt idx="48">
                  <c:v>63.296267</c:v>
                </c:pt>
                <c:pt idx="49">
                  <c:v>63.137231</c:v>
                </c:pt>
                <c:pt idx="50">
                  <c:v>62.580604000000001</c:v>
                </c:pt>
                <c:pt idx="51">
                  <c:v>62.361932000000003</c:v>
                </c:pt>
                <c:pt idx="52">
                  <c:v>61.924581000000003</c:v>
                </c:pt>
                <c:pt idx="53">
                  <c:v>62.123376999999998</c:v>
                </c:pt>
                <c:pt idx="54">
                  <c:v>62.153194999999997</c:v>
                </c:pt>
                <c:pt idx="55">
                  <c:v>62.322172000000002</c:v>
                </c:pt>
                <c:pt idx="56">
                  <c:v>62.232714999999999</c:v>
                </c:pt>
                <c:pt idx="57">
                  <c:v>62.809218000000001</c:v>
                </c:pt>
                <c:pt idx="58">
                  <c:v>62.242652999999997</c:v>
                </c:pt>
                <c:pt idx="59">
                  <c:v>62.262532999999998</c:v>
                </c:pt>
                <c:pt idx="60">
                  <c:v>62.461328000000002</c:v>
                </c:pt>
                <c:pt idx="61">
                  <c:v>61.924581000000003</c:v>
                </c:pt>
                <c:pt idx="62">
                  <c:v>61.924581000000003</c:v>
                </c:pt>
                <c:pt idx="63">
                  <c:v>62.202897</c:v>
                </c:pt>
                <c:pt idx="64">
                  <c:v>61.765546000000001</c:v>
                </c:pt>
                <c:pt idx="65">
                  <c:v>62.520968000000003</c:v>
                </c:pt>
                <c:pt idx="66">
                  <c:v>62.610425999999997</c:v>
                </c:pt>
                <c:pt idx="67">
                  <c:v>62.898674999999997</c:v>
                </c:pt>
                <c:pt idx="68">
                  <c:v>62.858919</c:v>
                </c:pt>
                <c:pt idx="69">
                  <c:v>63.167048999999999</c:v>
                </c:pt>
                <c:pt idx="70">
                  <c:v>63.157111</c:v>
                </c:pt>
                <c:pt idx="71">
                  <c:v>63.157111</c:v>
                </c:pt>
                <c:pt idx="72">
                  <c:v>63.236626999999999</c:v>
                </c:pt>
                <c:pt idx="73">
                  <c:v>61.924581000000003</c:v>
                </c:pt>
                <c:pt idx="74">
                  <c:v>62.202897</c:v>
                </c:pt>
                <c:pt idx="75">
                  <c:v>62.302292999999999</c:v>
                </c:pt>
                <c:pt idx="76">
                  <c:v>62.600484000000002</c:v>
                </c:pt>
                <c:pt idx="77">
                  <c:v>61.795363999999999</c:v>
                </c:pt>
                <c:pt idx="78">
                  <c:v>61.596572000000002</c:v>
                </c:pt>
                <c:pt idx="79">
                  <c:v>60.642353999999997</c:v>
                </c:pt>
                <c:pt idx="80">
                  <c:v>61.000185000000002</c:v>
                </c:pt>
                <c:pt idx="81">
                  <c:v>59.588743999999998</c:v>
                </c:pt>
                <c:pt idx="82">
                  <c:v>59.857117000000002</c:v>
                </c:pt>
                <c:pt idx="83">
                  <c:v>58.892961</c:v>
                </c:pt>
                <c:pt idx="84">
                  <c:v>58.843263</c:v>
                </c:pt>
                <c:pt idx="85">
                  <c:v>59.896872999999999</c:v>
                </c:pt>
                <c:pt idx="86">
                  <c:v>60.721874</c:v>
                </c:pt>
                <c:pt idx="87">
                  <c:v>60.244767000000003</c:v>
                </c:pt>
                <c:pt idx="88">
                  <c:v>60.165247000000001</c:v>
                </c:pt>
                <c:pt idx="89">
                  <c:v>60.036033000000003</c:v>
                </c:pt>
                <c:pt idx="90">
                  <c:v>60.751691999999998</c:v>
                </c:pt>
                <c:pt idx="91">
                  <c:v>60.493259999999999</c:v>
                </c:pt>
                <c:pt idx="92">
                  <c:v>59.986331</c:v>
                </c:pt>
                <c:pt idx="93">
                  <c:v>60.274585000000002</c:v>
                </c:pt>
                <c:pt idx="94">
                  <c:v>59.290551999999998</c:v>
                </c:pt>
                <c:pt idx="95">
                  <c:v>58.515250000000002</c:v>
                </c:pt>
                <c:pt idx="96">
                  <c:v>57.38212</c:v>
                </c:pt>
                <c:pt idx="97">
                  <c:v>58.270695000000003</c:v>
                </c:pt>
                <c:pt idx="98">
                  <c:v>57.954757999999998</c:v>
                </c:pt>
                <c:pt idx="99">
                  <c:v>59.406092999999998</c:v>
                </c:pt>
                <c:pt idx="100">
                  <c:v>59.702286999999998</c:v>
                </c:pt>
                <c:pt idx="101">
                  <c:v>59.652918999999997</c:v>
                </c:pt>
                <c:pt idx="102">
                  <c:v>57.964629000000002</c:v>
                </c:pt>
                <c:pt idx="103">
                  <c:v>58.458280999999999</c:v>
                </c:pt>
                <c:pt idx="104">
                  <c:v>58.675490000000003</c:v>
                </c:pt>
                <c:pt idx="105">
                  <c:v>59.040790999999999</c:v>
                </c:pt>
                <c:pt idx="106">
                  <c:v>59.159266000000002</c:v>
                </c:pt>
                <c:pt idx="107">
                  <c:v>59.109901999999998</c:v>
                </c:pt>
                <c:pt idx="108">
                  <c:v>59.336981999999999</c:v>
                </c:pt>
                <c:pt idx="109">
                  <c:v>59.860255000000002</c:v>
                </c:pt>
                <c:pt idx="110">
                  <c:v>60.215685000000001</c:v>
                </c:pt>
                <c:pt idx="111">
                  <c:v>60.225557000000002</c:v>
                </c:pt>
                <c:pt idx="112">
                  <c:v>58.902569</c:v>
                </c:pt>
                <c:pt idx="113">
                  <c:v>56.523166000000003</c:v>
                </c:pt>
                <c:pt idx="114">
                  <c:v>56.799610000000001</c:v>
                </c:pt>
                <c:pt idx="115">
                  <c:v>56.927961000000003</c:v>
                </c:pt>
                <c:pt idx="116">
                  <c:v>56.493547999999997</c:v>
                </c:pt>
                <c:pt idx="117">
                  <c:v>56.691006000000002</c:v>
                </c:pt>
                <c:pt idx="118">
                  <c:v>56.197353999999997</c:v>
                </c:pt>
                <c:pt idx="119">
                  <c:v>56.384943999999997</c:v>
                </c:pt>
                <c:pt idx="120">
                  <c:v>56.463926000000001</c:v>
                </c:pt>
                <c:pt idx="121">
                  <c:v>57.303137</c:v>
                </c:pt>
                <c:pt idx="122">
                  <c:v>57.066183000000002</c:v>
                </c:pt>
                <c:pt idx="123">
                  <c:v>57.006946999999997</c:v>
                </c:pt>
                <c:pt idx="124">
                  <c:v>56.908214000000001</c:v>
                </c:pt>
                <c:pt idx="125">
                  <c:v>56.513294999999999</c:v>
                </c:pt>
                <c:pt idx="126">
                  <c:v>56.691006000000002</c:v>
                </c:pt>
                <c:pt idx="127">
                  <c:v>56.868721000000001</c:v>
                </c:pt>
                <c:pt idx="128">
                  <c:v>56.671263000000003</c:v>
                </c:pt>
                <c:pt idx="129">
                  <c:v>57.293261999999999</c:v>
                </c:pt>
                <c:pt idx="130">
                  <c:v>57.214280000000002</c:v>
                </c:pt>
                <c:pt idx="131">
                  <c:v>56.177610999999999</c:v>
                </c:pt>
                <c:pt idx="132">
                  <c:v>56.700881000000003</c:v>
                </c:pt>
                <c:pt idx="133">
                  <c:v>57.085929</c:v>
                </c:pt>
                <c:pt idx="134">
                  <c:v>57.026690000000002</c:v>
                </c:pt>
                <c:pt idx="135">
                  <c:v>56.088754000000002</c:v>
                </c:pt>
                <c:pt idx="136">
                  <c:v>56.207228999999998</c:v>
                </c:pt>
                <c:pt idx="137">
                  <c:v>56.523166000000003</c:v>
                </c:pt>
                <c:pt idx="138">
                  <c:v>56.463926000000001</c:v>
                </c:pt>
                <c:pt idx="139">
                  <c:v>55.545732999999998</c:v>
                </c:pt>
                <c:pt idx="140">
                  <c:v>55.812306</c:v>
                </c:pt>
                <c:pt idx="141">
                  <c:v>56.325704000000002</c:v>
                </c:pt>
                <c:pt idx="142">
                  <c:v>55.496369000000001</c:v>
                </c:pt>
                <c:pt idx="143">
                  <c:v>56.700881000000003</c:v>
                </c:pt>
                <c:pt idx="144">
                  <c:v>56.927961000000003</c:v>
                </c:pt>
                <c:pt idx="145">
                  <c:v>56.878596000000002</c:v>
                </c:pt>
                <c:pt idx="146">
                  <c:v>56.937832</c:v>
                </c:pt>
                <c:pt idx="147">
                  <c:v>56.858849999999997</c:v>
                </c:pt>
                <c:pt idx="148">
                  <c:v>56.730499000000002</c:v>
                </c:pt>
                <c:pt idx="149">
                  <c:v>57.15504</c:v>
                </c:pt>
                <c:pt idx="150">
                  <c:v>57.362372999999998</c:v>
                </c:pt>
                <c:pt idx="151">
                  <c:v>57.293261999999999</c:v>
                </c:pt>
                <c:pt idx="152">
                  <c:v>57.431483999999998</c:v>
                </c:pt>
                <c:pt idx="153">
                  <c:v>57.214280000000002</c:v>
                </c:pt>
                <c:pt idx="154">
                  <c:v>57.15504</c:v>
                </c:pt>
                <c:pt idx="155">
                  <c:v>56.937832</c:v>
                </c:pt>
                <c:pt idx="156">
                  <c:v>56.888468000000003</c:v>
                </c:pt>
                <c:pt idx="157">
                  <c:v>56.868721000000001</c:v>
                </c:pt>
                <c:pt idx="158">
                  <c:v>56.829231999999998</c:v>
                </c:pt>
                <c:pt idx="159">
                  <c:v>56.710752999999997</c:v>
                </c:pt>
                <c:pt idx="160">
                  <c:v>57.026691</c:v>
                </c:pt>
                <c:pt idx="161">
                  <c:v>56.850076000000001</c:v>
                </c:pt>
                <c:pt idx="162">
                  <c:v>57.203305</c:v>
                </c:pt>
                <c:pt idx="163">
                  <c:v>56.928573</c:v>
                </c:pt>
                <c:pt idx="164">
                  <c:v>57.105187000000001</c:v>
                </c:pt>
                <c:pt idx="165">
                  <c:v>56.967821999999998</c:v>
                </c:pt>
                <c:pt idx="166">
                  <c:v>56.869700000000002</c:v>
                </c:pt>
                <c:pt idx="167">
                  <c:v>56.310423</c:v>
                </c:pt>
                <c:pt idx="168">
                  <c:v>55.898325999999997</c:v>
                </c:pt>
                <c:pt idx="169">
                  <c:v>55.515663000000004</c:v>
                </c:pt>
                <c:pt idx="170">
                  <c:v>55.515663000000004</c:v>
                </c:pt>
                <c:pt idx="171">
                  <c:v>55.613779999999998</c:v>
                </c:pt>
                <c:pt idx="172">
                  <c:v>55.152619999999999</c:v>
                </c:pt>
                <c:pt idx="173">
                  <c:v>55.132995999999999</c:v>
                </c:pt>
                <c:pt idx="174">
                  <c:v>55.692273</c:v>
                </c:pt>
                <c:pt idx="175">
                  <c:v>55.662838999999998</c:v>
                </c:pt>
                <c:pt idx="176">
                  <c:v>55.505848999999998</c:v>
                </c:pt>
                <c:pt idx="177">
                  <c:v>54.750332999999998</c:v>
                </c:pt>
                <c:pt idx="178">
                  <c:v>54.858263999999998</c:v>
                </c:pt>
                <c:pt idx="179">
                  <c:v>52.091312000000002</c:v>
                </c:pt>
                <c:pt idx="180">
                  <c:v>52.944944999999997</c:v>
                </c:pt>
                <c:pt idx="181">
                  <c:v>52.689838000000002</c:v>
                </c:pt>
                <c:pt idx="182">
                  <c:v>52.729086000000002</c:v>
                </c:pt>
                <c:pt idx="183">
                  <c:v>52.503410000000002</c:v>
                </c:pt>
                <c:pt idx="184">
                  <c:v>52.209054000000002</c:v>
                </c:pt>
                <c:pt idx="185">
                  <c:v>51.600718000000001</c:v>
                </c:pt>
                <c:pt idx="186">
                  <c:v>51.316172000000002</c:v>
                </c:pt>
                <c:pt idx="187">
                  <c:v>50.41348</c:v>
                </c:pt>
                <c:pt idx="188">
                  <c:v>50.41348</c:v>
                </c:pt>
                <c:pt idx="189">
                  <c:v>50.207428</c:v>
                </c:pt>
                <c:pt idx="190">
                  <c:v>50.197617999999999</c:v>
                </c:pt>
                <c:pt idx="191">
                  <c:v>50.207428</c:v>
                </c:pt>
                <c:pt idx="192">
                  <c:v>49.589281999999997</c:v>
                </c:pt>
                <c:pt idx="193">
                  <c:v>48.509971999999998</c:v>
                </c:pt>
                <c:pt idx="194">
                  <c:v>47.518973000000003</c:v>
                </c:pt>
                <c:pt idx="195">
                  <c:v>48.892637999999998</c:v>
                </c:pt>
                <c:pt idx="196">
                  <c:v>50.933509000000001</c:v>
                </c:pt>
                <c:pt idx="197">
                  <c:v>50.030816999999999</c:v>
                </c:pt>
                <c:pt idx="198">
                  <c:v>50.227052</c:v>
                </c:pt>
                <c:pt idx="199">
                  <c:v>49.128121999999998</c:v>
                </c:pt>
                <c:pt idx="200">
                  <c:v>49.186993999999999</c:v>
                </c:pt>
                <c:pt idx="201">
                  <c:v>49.442101999999998</c:v>
                </c:pt>
                <c:pt idx="202">
                  <c:v>48.755268999999998</c:v>
                </c:pt>
                <c:pt idx="203">
                  <c:v>48.892637999999998</c:v>
                </c:pt>
                <c:pt idx="204">
                  <c:v>49.196804999999998</c:v>
                </c:pt>
                <c:pt idx="205">
                  <c:v>50.511597999999999</c:v>
                </c:pt>
                <c:pt idx="206">
                  <c:v>50.648963000000002</c:v>
                </c:pt>
                <c:pt idx="207">
                  <c:v>51.061064999999999</c:v>
                </c:pt>
                <c:pt idx="208">
                  <c:v>51.119934000000001</c:v>
                </c:pt>
                <c:pt idx="209">
                  <c:v>51.149372</c:v>
                </c:pt>
                <c:pt idx="210">
                  <c:v>50.815767999999998</c:v>
                </c:pt>
                <c:pt idx="211">
                  <c:v>51.492786000000002</c:v>
                </c:pt>
                <c:pt idx="212">
                  <c:v>51.855825000000003</c:v>
                </c:pt>
                <c:pt idx="213">
                  <c:v>52.003005000000002</c:v>
                </c:pt>
                <c:pt idx="214">
                  <c:v>51.335796000000002</c:v>
                </c:pt>
                <c:pt idx="215">
                  <c:v>50.913885000000001</c:v>
                </c:pt>
                <c:pt idx="216">
                  <c:v>51.139558000000001</c:v>
                </c:pt>
                <c:pt idx="217">
                  <c:v>50.619529</c:v>
                </c:pt>
                <c:pt idx="218">
                  <c:v>49.088873</c:v>
                </c:pt>
                <c:pt idx="219">
                  <c:v>49.667774999999999</c:v>
                </c:pt>
                <c:pt idx="220">
                  <c:v>49.373418999999998</c:v>
                </c:pt>
                <c:pt idx="221">
                  <c:v>49.854202999999998</c:v>
                </c:pt>
                <c:pt idx="222">
                  <c:v>49.559843000000001</c:v>
                </c:pt>
                <c:pt idx="223">
                  <c:v>50.501787</c:v>
                </c:pt>
                <c:pt idx="224">
                  <c:v>49.771006999999997</c:v>
                </c:pt>
                <c:pt idx="225">
                  <c:v>50.189984000000003</c:v>
                </c:pt>
                <c:pt idx="226">
                  <c:v>49.741773999999999</c:v>
                </c:pt>
                <c:pt idx="227">
                  <c:v>49.712542999999997</c:v>
                </c:pt>
                <c:pt idx="228">
                  <c:v>48.786887999999998</c:v>
                </c:pt>
                <c:pt idx="229">
                  <c:v>49.098686999999998</c:v>
                </c:pt>
                <c:pt idx="230">
                  <c:v>48.660218</c:v>
                </c:pt>
                <c:pt idx="231">
                  <c:v>48.592011999999997</c:v>
                </c:pt>
                <c:pt idx="232">
                  <c:v>48.504319000000002</c:v>
                </c:pt>
                <c:pt idx="233">
                  <c:v>49.313049999999997</c:v>
                </c:pt>
                <c:pt idx="234">
                  <c:v>48.592011999999997</c:v>
                </c:pt>
                <c:pt idx="235">
                  <c:v>48.621245999999999</c:v>
                </c:pt>
                <c:pt idx="236">
                  <c:v>49.634591999999998</c:v>
                </c:pt>
                <c:pt idx="237">
                  <c:v>50.121778999999997</c:v>
                </c:pt>
                <c:pt idx="238">
                  <c:v>50.774611</c:v>
                </c:pt>
                <c:pt idx="239">
                  <c:v>50.453066</c:v>
                </c:pt>
                <c:pt idx="240">
                  <c:v>54.350560000000002</c:v>
                </c:pt>
                <c:pt idx="241">
                  <c:v>54.165430999999998</c:v>
                </c:pt>
                <c:pt idx="242">
                  <c:v>54.944929000000002</c:v>
                </c:pt>
                <c:pt idx="243">
                  <c:v>55.013134999999998</c:v>
                </c:pt>
                <c:pt idx="244">
                  <c:v>54.223894000000001</c:v>
                </c:pt>
                <c:pt idx="245">
                  <c:v>53.941324999999999</c:v>
                </c:pt>
                <c:pt idx="246">
                  <c:v>53.931578999999999</c:v>
                </c:pt>
                <c:pt idx="247">
                  <c:v>53.249521000000001</c:v>
                </c:pt>
                <c:pt idx="248">
                  <c:v>52.918233999999998</c:v>
                </c:pt>
                <c:pt idx="249">
                  <c:v>53.025412000000003</c:v>
                </c:pt>
                <c:pt idx="250">
                  <c:v>53.064387000000004</c:v>
                </c:pt>
                <c:pt idx="251">
                  <c:v>53.707473999999998</c:v>
                </c:pt>
                <c:pt idx="252">
                  <c:v>53.161827000000002</c:v>
                </c:pt>
              </c:numCache>
            </c:numRef>
          </c:val>
          <c:smooth val="0"/>
        </c:ser>
        <c:dLbls>
          <c:showLegendKey val="0"/>
          <c:showVal val="0"/>
          <c:showCatName val="0"/>
          <c:showSerName val="0"/>
          <c:showPercent val="0"/>
          <c:showBubbleSize val="0"/>
        </c:dLbls>
        <c:smooth val="0"/>
        <c:axId val="156259680"/>
        <c:axId val="156257328"/>
      </c:lineChart>
      <c:dateAx>
        <c:axId val="15625968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156257328"/>
        <c:crosses val="autoZero"/>
        <c:auto val="0"/>
        <c:lblOffset val="100"/>
        <c:baseTimeUnit val="days"/>
      </c:dateAx>
      <c:valAx>
        <c:axId val="156257328"/>
        <c:scaling>
          <c:orientation val="minMax"/>
          <c:min val="45"/>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1562596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i="1"/>
              <a:t>Price</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lineChart>
        <c:grouping val="standard"/>
        <c:varyColors val="0"/>
        <c:ser>
          <c:idx val="0"/>
          <c:order val="0"/>
          <c:tx>
            <c:strRef>
              <c:f>'Oil Price and factors'!$B$4</c:f>
              <c:strCache>
                <c:ptCount val="1"/>
                <c:pt idx="0">
                  <c:v>Price</c:v>
                </c:pt>
              </c:strCache>
            </c:strRef>
          </c:tx>
          <c:spPr>
            <a:ln w="28575" cap="rnd">
              <a:solidFill>
                <a:schemeClr val="accent1"/>
              </a:solidFill>
              <a:round/>
            </a:ln>
            <a:effectLst/>
          </c:spPr>
          <c:marker>
            <c:symbol val="none"/>
          </c:marker>
          <c:cat>
            <c:numRef>
              <c:f>'Oil Price and factors'!$A$5:$A$818</c:f>
              <c:numCache>
                <c:formatCode>yyyy\-mm\-dd</c:formatCode>
                <c:ptCount val="814"/>
                <c:pt idx="0">
                  <c:v>42821</c:v>
                </c:pt>
                <c:pt idx="1">
                  <c:v>42818</c:v>
                </c:pt>
                <c:pt idx="2">
                  <c:v>42817</c:v>
                </c:pt>
                <c:pt idx="3">
                  <c:v>42816</c:v>
                </c:pt>
                <c:pt idx="4">
                  <c:v>42815</c:v>
                </c:pt>
                <c:pt idx="5">
                  <c:v>42814</c:v>
                </c:pt>
                <c:pt idx="6">
                  <c:v>42811</c:v>
                </c:pt>
                <c:pt idx="7">
                  <c:v>42810</c:v>
                </c:pt>
                <c:pt idx="8">
                  <c:v>42809</c:v>
                </c:pt>
                <c:pt idx="9">
                  <c:v>42808</c:v>
                </c:pt>
                <c:pt idx="10">
                  <c:v>42807</c:v>
                </c:pt>
                <c:pt idx="11">
                  <c:v>42804</c:v>
                </c:pt>
                <c:pt idx="12">
                  <c:v>42803</c:v>
                </c:pt>
                <c:pt idx="13">
                  <c:v>42802</c:v>
                </c:pt>
                <c:pt idx="14">
                  <c:v>42801</c:v>
                </c:pt>
                <c:pt idx="15">
                  <c:v>42800</c:v>
                </c:pt>
                <c:pt idx="16">
                  <c:v>42797</c:v>
                </c:pt>
                <c:pt idx="17">
                  <c:v>42796</c:v>
                </c:pt>
                <c:pt idx="18">
                  <c:v>42795</c:v>
                </c:pt>
                <c:pt idx="19">
                  <c:v>42794</c:v>
                </c:pt>
                <c:pt idx="20">
                  <c:v>42793</c:v>
                </c:pt>
                <c:pt idx="21">
                  <c:v>42790</c:v>
                </c:pt>
                <c:pt idx="22">
                  <c:v>42789</c:v>
                </c:pt>
                <c:pt idx="23">
                  <c:v>42788</c:v>
                </c:pt>
                <c:pt idx="24">
                  <c:v>42787</c:v>
                </c:pt>
                <c:pt idx="25">
                  <c:v>42783</c:v>
                </c:pt>
                <c:pt idx="26">
                  <c:v>42782</c:v>
                </c:pt>
                <c:pt idx="27">
                  <c:v>42781</c:v>
                </c:pt>
                <c:pt idx="28">
                  <c:v>42780</c:v>
                </c:pt>
                <c:pt idx="29">
                  <c:v>42779</c:v>
                </c:pt>
                <c:pt idx="30">
                  <c:v>42776</c:v>
                </c:pt>
                <c:pt idx="31">
                  <c:v>42775</c:v>
                </c:pt>
                <c:pt idx="32">
                  <c:v>42774</c:v>
                </c:pt>
                <c:pt idx="33">
                  <c:v>42773</c:v>
                </c:pt>
                <c:pt idx="34">
                  <c:v>42772</c:v>
                </c:pt>
                <c:pt idx="35">
                  <c:v>42769</c:v>
                </c:pt>
                <c:pt idx="36">
                  <c:v>42768</c:v>
                </c:pt>
                <c:pt idx="37">
                  <c:v>42767</c:v>
                </c:pt>
                <c:pt idx="38">
                  <c:v>42766</c:v>
                </c:pt>
                <c:pt idx="39">
                  <c:v>42765</c:v>
                </c:pt>
                <c:pt idx="40">
                  <c:v>42762</c:v>
                </c:pt>
                <c:pt idx="41">
                  <c:v>42761</c:v>
                </c:pt>
                <c:pt idx="42">
                  <c:v>42760</c:v>
                </c:pt>
                <c:pt idx="43">
                  <c:v>42759</c:v>
                </c:pt>
                <c:pt idx="44">
                  <c:v>42758</c:v>
                </c:pt>
                <c:pt idx="45">
                  <c:v>42755</c:v>
                </c:pt>
                <c:pt idx="46">
                  <c:v>42754</c:v>
                </c:pt>
                <c:pt idx="47">
                  <c:v>42753</c:v>
                </c:pt>
                <c:pt idx="48">
                  <c:v>42752</c:v>
                </c:pt>
                <c:pt idx="49">
                  <c:v>42748</c:v>
                </c:pt>
                <c:pt idx="50">
                  <c:v>42747</c:v>
                </c:pt>
                <c:pt idx="51">
                  <c:v>42746</c:v>
                </c:pt>
                <c:pt idx="52">
                  <c:v>42745</c:v>
                </c:pt>
                <c:pt idx="53">
                  <c:v>42744</c:v>
                </c:pt>
                <c:pt idx="54">
                  <c:v>42741</c:v>
                </c:pt>
                <c:pt idx="55">
                  <c:v>42740</c:v>
                </c:pt>
                <c:pt idx="56">
                  <c:v>42739</c:v>
                </c:pt>
                <c:pt idx="57">
                  <c:v>42738</c:v>
                </c:pt>
                <c:pt idx="58">
                  <c:v>42734</c:v>
                </c:pt>
                <c:pt idx="59">
                  <c:v>42733</c:v>
                </c:pt>
                <c:pt idx="60">
                  <c:v>42732</c:v>
                </c:pt>
                <c:pt idx="61">
                  <c:v>42731</c:v>
                </c:pt>
                <c:pt idx="62">
                  <c:v>42727</c:v>
                </c:pt>
                <c:pt idx="63">
                  <c:v>42726</c:v>
                </c:pt>
                <c:pt idx="64">
                  <c:v>42725</c:v>
                </c:pt>
                <c:pt idx="65">
                  <c:v>42724</c:v>
                </c:pt>
                <c:pt idx="66">
                  <c:v>42723</c:v>
                </c:pt>
                <c:pt idx="67">
                  <c:v>42720</c:v>
                </c:pt>
                <c:pt idx="68">
                  <c:v>42719</c:v>
                </c:pt>
                <c:pt idx="69">
                  <c:v>42718</c:v>
                </c:pt>
                <c:pt idx="70">
                  <c:v>42717</c:v>
                </c:pt>
                <c:pt idx="71">
                  <c:v>42716</c:v>
                </c:pt>
                <c:pt idx="72">
                  <c:v>42713</c:v>
                </c:pt>
                <c:pt idx="73">
                  <c:v>42712</c:v>
                </c:pt>
                <c:pt idx="74">
                  <c:v>42711</c:v>
                </c:pt>
                <c:pt idx="75">
                  <c:v>42710</c:v>
                </c:pt>
                <c:pt idx="76">
                  <c:v>42709</c:v>
                </c:pt>
                <c:pt idx="77">
                  <c:v>42706</c:v>
                </c:pt>
                <c:pt idx="78">
                  <c:v>42705</c:v>
                </c:pt>
                <c:pt idx="79">
                  <c:v>42704</c:v>
                </c:pt>
                <c:pt idx="80">
                  <c:v>42703</c:v>
                </c:pt>
                <c:pt idx="81">
                  <c:v>42702</c:v>
                </c:pt>
                <c:pt idx="82">
                  <c:v>42699</c:v>
                </c:pt>
                <c:pt idx="83">
                  <c:v>42697</c:v>
                </c:pt>
                <c:pt idx="84">
                  <c:v>42696</c:v>
                </c:pt>
                <c:pt idx="85">
                  <c:v>42695</c:v>
                </c:pt>
                <c:pt idx="86">
                  <c:v>42692</c:v>
                </c:pt>
                <c:pt idx="87">
                  <c:v>42691</c:v>
                </c:pt>
                <c:pt idx="88">
                  <c:v>42690</c:v>
                </c:pt>
                <c:pt idx="89">
                  <c:v>42689</c:v>
                </c:pt>
                <c:pt idx="90">
                  <c:v>42688</c:v>
                </c:pt>
                <c:pt idx="91">
                  <c:v>42685</c:v>
                </c:pt>
                <c:pt idx="92">
                  <c:v>42684</c:v>
                </c:pt>
                <c:pt idx="93">
                  <c:v>42683</c:v>
                </c:pt>
                <c:pt idx="94">
                  <c:v>42682</c:v>
                </c:pt>
                <c:pt idx="95">
                  <c:v>42681</c:v>
                </c:pt>
                <c:pt idx="96">
                  <c:v>42678</c:v>
                </c:pt>
                <c:pt idx="97">
                  <c:v>42677</c:v>
                </c:pt>
                <c:pt idx="98">
                  <c:v>42676</c:v>
                </c:pt>
                <c:pt idx="99">
                  <c:v>42675</c:v>
                </c:pt>
                <c:pt idx="100">
                  <c:v>42674</c:v>
                </c:pt>
                <c:pt idx="101">
                  <c:v>42671</c:v>
                </c:pt>
                <c:pt idx="102">
                  <c:v>42670</c:v>
                </c:pt>
                <c:pt idx="103">
                  <c:v>42669</c:v>
                </c:pt>
                <c:pt idx="104">
                  <c:v>42668</c:v>
                </c:pt>
                <c:pt idx="105">
                  <c:v>42667</c:v>
                </c:pt>
                <c:pt idx="106">
                  <c:v>42664</c:v>
                </c:pt>
                <c:pt idx="107">
                  <c:v>42663</c:v>
                </c:pt>
                <c:pt idx="108">
                  <c:v>42662</c:v>
                </c:pt>
                <c:pt idx="109">
                  <c:v>42661</c:v>
                </c:pt>
                <c:pt idx="110">
                  <c:v>42660</c:v>
                </c:pt>
                <c:pt idx="111">
                  <c:v>42657</c:v>
                </c:pt>
                <c:pt idx="112">
                  <c:v>42656</c:v>
                </c:pt>
                <c:pt idx="113">
                  <c:v>42655</c:v>
                </c:pt>
                <c:pt idx="114">
                  <c:v>42654</c:v>
                </c:pt>
                <c:pt idx="115">
                  <c:v>42653</c:v>
                </c:pt>
                <c:pt idx="116">
                  <c:v>42650</c:v>
                </c:pt>
                <c:pt idx="117">
                  <c:v>42649</c:v>
                </c:pt>
                <c:pt idx="118">
                  <c:v>42648</c:v>
                </c:pt>
                <c:pt idx="119">
                  <c:v>42647</c:v>
                </c:pt>
                <c:pt idx="120">
                  <c:v>42646</c:v>
                </c:pt>
                <c:pt idx="121">
                  <c:v>42643</c:v>
                </c:pt>
                <c:pt idx="122">
                  <c:v>42642</c:v>
                </c:pt>
                <c:pt idx="123">
                  <c:v>42641</c:v>
                </c:pt>
                <c:pt idx="124">
                  <c:v>42640</c:v>
                </c:pt>
                <c:pt idx="125">
                  <c:v>42639</c:v>
                </c:pt>
                <c:pt idx="126">
                  <c:v>42636</c:v>
                </c:pt>
                <c:pt idx="127">
                  <c:v>42635</c:v>
                </c:pt>
                <c:pt idx="128">
                  <c:v>42634</c:v>
                </c:pt>
                <c:pt idx="129">
                  <c:v>42633</c:v>
                </c:pt>
                <c:pt idx="130">
                  <c:v>42632</c:v>
                </c:pt>
                <c:pt idx="131">
                  <c:v>42629</c:v>
                </c:pt>
                <c:pt idx="132">
                  <c:v>42628</c:v>
                </c:pt>
                <c:pt idx="133">
                  <c:v>42627</c:v>
                </c:pt>
                <c:pt idx="134">
                  <c:v>42626</c:v>
                </c:pt>
                <c:pt idx="135">
                  <c:v>42625</c:v>
                </c:pt>
                <c:pt idx="136">
                  <c:v>42622</c:v>
                </c:pt>
                <c:pt idx="137">
                  <c:v>42621</c:v>
                </c:pt>
                <c:pt idx="138">
                  <c:v>42620</c:v>
                </c:pt>
                <c:pt idx="139">
                  <c:v>42619</c:v>
                </c:pt>
                <c:pt idx="140">
                  <c:v>42615</c:v>
                </c:pt>
                <c:pt idx="141">
                  <c:v>42614</c:v>
                </c:pt>
                <c:pt idx="142">
                  <c:v>42613</c:v>
                </c:pt>
                <c:pt idx="143">
                  <c:v>42612</c:v>
                </c:pt>
                <c:pt idx="144">
                  <c:v>42611</c:v>
                </c:pt>
                <c:pt idx="145">
                  <c:v>42608</c:v>
                </c:pt>
                <c:pt idx="146">
                  <c:v>42607</c:v>
                </c:pt>
                <c:pt idx="147">
                  <c:v>42606</c:v>
                </c:pt>
                <c:pt idx="148">
                  <c:v>42605</c:v>
                </c:pt>
                <c:pt idx="149">
                  <c:v>42604</c:v>
                </c:pt>
                <c:pt idx="150">
                  <c:v>42601</c:v>
                </c:pt>
                <c:pt idx="151">
                  <c:v>42600</c:v>
                </c:pt>
                <c:pt idx="152">
                  <c:v>42599</c:v>
                </c:pt>
                <c:pt idx="153">
                  <c:v>42598</c:v>
                </c:pt>
                <c:pt idx="154">
                  <c:v>42597</c:v>
                </c:pt>
                <c:pt idx="155">
                  <c:v>42594</c:v>
                </c:pt>
                <c:pt idx="156">
                  <c:v>42593</c:v>
                </c:pt>
                <c:pt idx="157">
                  <c:v>42592</c:v>
                </c:pt>
                <c:pt idx="158">
                  <c:v>42591</c:v>
                </c:pt>
                <c:pt idx="159">
                  <c:v>42590</c:v>
                </c:pt>
                <c:pt idx="160">
                  <c:v>42587</c:v>
                </c:pt>
                <c:pt idx="161">
                  <c:v>42586</c:v>
                </c:pt>
                <c:pt idx="162">
                  <c:v>42585</c:v>
                </c:pt>
                <c:pt idx="163">
                  <c:v>42584</c:v>
                </c:pt>
                <c:pt idx="164">
                  <c:v>42583</c:v>
                </c:pt>
                <c:pt idx="165">
                  <c:v>42580</c:v>
                </c:pt>
                <c:pt idx="166">
                  <c:v>42579</c:v>
                </c:pt>
                <c:pt idx="167">
                  <c:v>42578</c:v>
                </c:pt>
                <c:pt idx="168">
                  <c:v>42577</c:v>
                </c:pt>
                <c:pt idx="169">
                  <c:v>42576</c:v>
                </c:pt>
                <c:pt idx="170">
                  <c:v>42573</c:v>
                </c:pt>
                <c:pt idx="171">
                  <c:v>42572</c:v>
                </c:pt>
                <c:pt idx="172">
                  <c:v>42571</c:v>
                </c:pt>
                <c:pt idx="173">
                  <c:v>42570</c:v>
                </c:pt>
                <c:pt idx="174">
                  <c:v>42569</c:v>
                </c:pt>
                <c:pt idx="175">
                  <c:v>42566</c:v>
                </c:pt>
                <c:pt idx="176">
                  <c:v>42565</c:v>
                </c:pt>
                <c:pt idx="177">
                  <c:v>42564</c:v>
                </c:pt>
                <c:pt idx="178">
                  <c:v>42563</c:v>
                </c:pt>
                <c:pt idx="179">
                  <c:v>42562</c:v>
                </c:pt>
                <c:pt idx="180">
                  <c:v>42559</c:v>
                </c:pt>
                <c:pt idx="181">
                  <c:v>42558</c:v>
                </c:pt>
                <c:pt idx="182">
                  <c:v>42557</c:v>
                </c:pt>
                <c:pt idx="183">
                  <c:v>42556</c:v>
                </c:pt>
                <c:pt idx="184">
                  <c:v>42552</c:v>
                </c:pt>
                <c:pt idx="185">
                  <c:v>42551</c:v>
                </c:pt>
                <c:pt idx="186">
                  <c:v>42550</c:v>
                </c:pt>
                <c:pt idx="187">
                  <c:v>42549</c:v>
                </c:pt>
                <c:pt idx="188">
                  <c:v>42548</c:v>
                </c:pt>
                <c:pt idx="189">
                  <c:v>42545</c:v>
                </c:pt>
                <c:pt idx="190">
                  <c:v>42544</c:v>
                </c:pt>
                <c:pt idx="191">
                  <c:v>42543</c:v>
                </c:pt>
                <c:pt idx="192">
                  <c:v>42542</c:v>
                </c:pt>
                <c:pt idx="193">
                  <c:v>42541</c:v>
                </c:pt>
                <c:pt idx="194">
                  <c:v>42538</c:v>
                </c:pt>
                <c:pt idx="195">
                  <c:v>42537</c:v>
                </c:pt>
                <c:pt idx="196">
                  <c:v>42536</c:v>
                </c:pt>
                <c:pt idx="197">
                  <c:v>42535</c:v>
                </c:pt>
                <c:pt idx="198">
                  <c:v>42534</c:v>
                </c:pt>
                <c:pt idx="199">
                  <c:v>42531</c:v>
                </c:pt>
                <c:pt idx="200">
                  <c:v>42530</c:v>
                </c:pt>
                <c:pt idx="201">
                  <c:v>42529</c:v>
                </c:pt>
                <c:pt idx="202">
                  <c:v>42528</c:v>
                </c:pt>
                <c:pt idx="203">
                  <c:v>42527</c:v>
                </c:pt>
                <c:pt idx="204">
                  <c:v>42524</c:v>
                </c:pt>
                <c:pt idx="205">
                  <c:v>42523</c:v>
                </c:pt>
                <c:pt idx="206">
                  <c:v>42522</c:v>
                </c:pt>
                <c:pt idx="207">
                  <c:v>42521</c:v>
                </c:pt>
                <c:pt idx="208">
                  <c:v>42517</c:v>
                </c:pt>
                <c:pt idx="209">
                  <c:v>42516</c:v>
                </c:pt>
                <c:pt idx="210">
                  <c:v>42515</c:v>
                </c:pt>
                <c:pt idx="211">
                  <c:v>42514</c:v>
                </c:pt>
                <c:pt idx="212">
                  <c:v>42513</c:v>
                </c:pt>
                <c:pt idx="213">
                  <c:v>42510</c:v>
                </c:pt>
                <c:pt idx="214">
                  <c:v>42509</c:v>
                </c:pt>
                <c:pt idx="215">
                  <c:v>42508</c:v>
                </c:pt>
                <c:pt idx="216">
                  <c:v>42507</c:v>
                </c:pt>
                <c:pt idx="217">
                  <c:v>42506</c:v>
                </c:pt>
                <c:pt idx="218">
                  <c:v>42503</c:v>
                </c:pt>
                <c:pt idx="219">
                  <c:v>42502</c:v>
                </c:pt>
                <c:pt idx="220">
                  <c:v>42501</c:v>
                </c:pt>
                <c:pt idx="221">
                  <c:v>42500</c:v>
                </c:pt>
                <c:pt idx="222">
                  <c:v>42499</c:v>
                </c:pt>
                <c:pt idx="223">
                  <c:v>42496</c:v>
                </c:pt>
                <c:pt idx="224">
                  <c:v>42495</c:v>
                </c:pt>
                <c:pt idx="225">
                  <c:v>42494</c:v>
                </c:pt>
                <c:pt idx="226">
                  <c:v>42493</c:v>
                </c:pt>
                <c:pt idx="227">
                  <c:v>42492</c:v>
                </c:pt>
                <c:pt idx="228">
                  <c:v>42489</c:v>
                </c:pt>
                <c:pt idx="229">
                  <c:v>42488</c:v>
                </c:pt>
                <c:pt idx="230">
                  <c:v>42487</c:v>
                </c:pt>
                <c:pt idx="231">
                  <c:v>42486</c:v>
                </c:pt>
                <c:pt idx="232">
                  <c:v>42485</c:v>
                </c:pt>
                <c:pt idx="233">
                  <c:v>42482</c:v>
                </c:pt>
                <c:pt idx="234">
                  <c:v>42481</c:v>
                </c:pt>
                <c:pt idx="235">
                  <c:v>42480</c:v>
                </c:pt>
                <c:pt idx="236">
                  <c:v>42479</c:v>
                </c:pt>
                <c:pt idx="237">
                  <c:v>42478</c:v>
                </c:pt>
                <c:pt idx="238">
                  <c:v>42475</c:v>
                </c:pt>
                <c:pt idx="239">
                  <c:v>42474</c:v>
                </c:pt>
                <c:pt idx="240">
                  <c:v>42473</c:v>
                </c:pt>
                <c:pt idx="241">
                  <c:v>42472</c:v>
                </c:pt>
                <c:pt idx="242">
                  <c:v>42471</c:v>
                </c:pt>
                <c:pt idx="243">
                  <c:v>42468</c:v>
                </c:pt>
                <c:pt idx="244">
                  <c:v>42467</c:v>
                </c:pt>
                <c:pt idx="245">
                  <c:v>42466</c:v>
                </c:pt>
                <c:pt idx="246">
                  <c:v>42465</c:v>
                </c:pt>
                <c:pt idx="247">
                  <c:v>42464</c:v>
                </c:pt>
                <c:pt idx="248">
                  <c:v>42461</c:v>
                </c:pt>
                <c:pt idx="249">
                  <c:v>42460</c:v>
                </c:pt>
                <c:pt idx="250">
                  <c:v>42459</c:v>
                </c:pt>
                <c:pt idx="251">
                  <c:v>42458</c:v>
                </c:pt>
                <c:pt idx="252">
                  <c:v>42457</c:v>
                </c:pt>
                <c:pt idx="253">
                  <c:v>42453</c:v>
                </c:pt>
                <c:pt idx="254">
                  <c:v>42452</c:v>
                </c:pt>
                <c:pt idx="255">
                  <c:v>42451</c:v>
                </c:pt>
                <c:pt idx="256">
                  <c:v>42450</c:v>
                </c:pt>
                <c:pt idx="257">
                  <c:v>42447</c:v>
                </c:pt>
                <c:pt idx="258">
                  <c:v>42446</c:v>
                </c:pt>
                <c:pt idx="259">
                  <c:v>42445</c:v>
                </c:pt>
                <c:pt idx="260">
                  <c:v>42444</c:v>
                </c:pt>
                <c:pt idx="261">
                  <c:v>42443</c:v>
                </c:pt>
                <c:pt idx="262">
                  <c:v>42440</c:v>
                </c:pt>
                <c:pt idx="263">
                  <c:v>42439</c:v>
                </c:pt>
                <c:pt idx="264">
                  <c:v>42438</c:v>
                </c:pt>
                <c:pt idx="265">
                  <c:v>42437</c:v>
                </c:pt>
                <c:pt idx="266">
                  <c:v>42436</c:v>
                </c:pt>
                <c:pt idx="267">
                  <c:v>42433</c:v>
                </c:pt>
                <c:pt idx="268">
                  <c:v>42432</c:v>
                </c:pt>
                <c:pt idx="269">
                  <c:v>42431</c:v>
                </c:pt>
                <c:pt idx="270">
                  <c:v>42430</c:v>
                </c:pt>
                <c:pt idx="271">
                  <c:v>42429</c:v>
                </c:pt>
                <c:pt idx="272">
                  <c:v>42426</c:v>
                </c:pt>
                <c:pt idx="273">
                  <c:v>42425</c:v>
                </c:pt>
                <c:pt idx="274">
                  <c:v>42424</c:v>
                </c:pt>
                <c:pt idx="275">
                  <c:v>42423</c:v>
                </c:pt>
                <c:pt idx="276">
                  <c:v>42422</c:v>
                </c:pt>
                <c:pt idx="277">
                  <c:v>42419</c:v>
                </c:pt>
                <c:pt idx="278">
                  <c:v>42418</c:v>
                </c:pt>
                <c:pt idx="279">
                  <c:v>42417</c:v>
                </c:pt>
                <c:pt idx="280">
                  <c:v>42416</c:v>
                </c:pt>
                <c:pt idx="281">
                  <c:v>42412</c:v>
                </c:pt>
                <c:pt idx="282">
                  <c:v>42411</c:v>
                </c:pt>
                <c:pt idx="283">
                  <c:v>42410</c:v>
                </c:pt>
                <c:pt idx="284">
                  <c:v>42409</c:v>
                </c:pt>
                <c:pt idx="285">
                  <c:v>42408</c:v>
                </c:pt>
                <c:pt idx="286">
                  <c:v>42405</c:v>
                </c:pt>
                <c:pt idx="287">
                  <c:v>42404</c:v>
                </c:pt>
                <c:pt idx="288">
                  <c:v>42403</c:v>
                </c:pt>
                <c:pt idx="289">
                  <c:v>42402</c:v>
                </c:pt>
                <c:pt idx="290">
                  <c:v>42401</c:v>
                </c:pt>
                <c:pt idx="291">
                  <c:v>42398</c:v>
                </c:pt>
                <c:pt idx="292">
                  <c:v>42397</c:v>
                </c:pt>
                <c:pt idx="293">
                  <c:v>42396</c:v>
                </c:pt>
                <c:pt idx="294">
                  <c:v>42395</c:v>
                </c:pt>
                <c:pt idx="295">
                  <c:v>42394</c:v>
                </c:pt>
                <c:pt idx="296">
                  <c:v>42391</c:v>
                </c:pt>
                <c:pt idx="297">
                  <c:v>42390</c:v>
                </c:pt>
                <c:pt idx="298">
                  <c:v>42389</c:v>
                </c:pt>
                <c:pt idx="299">
                  <c:v>42388</c:v>
                </c:pt>
                <c:pt idx="300">
                  <c:v>42384</c:v>
                </c:pt>
                <c:pt idx="301">
                  <c:v>42383</c:v>
                </c:pt>
                <c:pt idx="302">
                  <c:v>42382</c:v>
                </c:pt>
                <c:pt idx="303">
                  <c:v>42381</c:v>
                </c:pt>
                <c:pt idx="304">
                  <c:v>42380</c:v>
                </c:pt>
                <c:pt idx="305">
                  <c:v>42377</c:v>
                </c:pt>
                <c:pt idx="306">
                  <c:v>42376</c:v>
                </c:pt>
                <c:pt idx="307">
                  <c:v>42375</c:v>
                </c:pt>
                <c:pt idx="308">
                  <c:v>42374</c:v>
                </c:pt>
                <c:pt idx="309">
                  <c:v>42373</c:v>
                </c:pt>
                <c:pt idx="310">
                  <c:v>42369</c:v>
                </c:pt>
                <c:pt idx="311">
                  <c:v>42368</c:v>
                </c:pt>
                <c:pt idx="312">
                  <c:v>42367</c:v>
                </c:pt>
                <c:pt idx="313">
                  <c:v>42366</c:v>
                </c:pt>
                <c:pt idx="314">
                  <c:v>42362</c:v>
                </c:pt>
                <c:pt idx="315">
                  <c:v>42361</c:v>
                </c:pt>
                <c:pt idx="316">
                  <c:v>42360</c:v>
                </c:pt>
                <c:pt idx="317">
                  <c:v>42359</c:v>
                </c:pt>
                <c:pt idx="318">
                  <c:v>42356</c:v>
                </c:pt>
                <c:pt idx="319">
                  <c:v>42355</c:v>
                </c:pt>
                <c:pt idx="320">
                  <c:v>42354</c:v>
                </c:pt>
                <c:pt idx="321">
                  <c:v>42353</c:v>
                </c:pt>
                <c:pt idx="322">
                  <c:v>42352</c:v>
                </c:pt>
                <c:pt idx="323">
                  <c:v>42349</c:v>
                </c:pt>
                <c:pt idx="324">
                  <c:v>42348</c:v>
                </c:pt>
                <c:pt idx="325">
                  <c:v>42347</c:v>
                </c:pt>
                <c:pt idx="326">
                  <c:v>42346</c:v>
                </c:pt>
                <c:pt idx="327">
                  <c:v>42345</c:v>
                </c:pt>
                <c:pt idx="328">
                  <c:v>42342</c:v>
                </c:pt>
                <c:pt idx="329">
                  <c:v>42341</c:v>
                </c:pt>
                <c:pt idx="330">
                  <c:v>42340</c:v>
                </c:pt>
                <c:pt idx="331">
                  <c:v>42339</c:v>
                </c:pt>
                <c:pt idx="332">
                  <c:v>42338</c:v>
                </c:pt>
                <c:pt idx="333">
                  <c:v>42335</c:v>
                </c:pt>
                <c:pt idx="334">
                  <c:v>42333</c:v>
                </c:pt>
                <c:pt idx="335">
                  <c:v>42332</c:v>
                </c:pt>
                <c:pt idx="336">
                  <c:v>42331</c:v>
                </c:pt>
                <c:pt idx="337">
                  <c:v>42328</c:v>
                </c:pt>
                <c:pt idx="338">
                  <c:v>42327</c:v>
                </c:pt>
                <c:pt idx="339">
                  <c:v>42326</c:v>
                </c:pt>
                <c:pt idx="340">
                  <c:v>42325</c:v>
                </c:pt>
                <c:pt idx="341">
                  <c:v>42324</c:v>
                </c:pt>
                <c:pt idx="342">
                  <c:v>42321</c:v>
                </c:pt>
                <c:pt idx="343">
                  <c:v>42320</c:v>
                </c:pt>
                <c:pt idx="344">
                  <c:v>42319</c:v>
                </c:pt>
                <c:pt idx="345">
                  <c:v>42318</c:v>
                </c:pt>
                <c:pt idx="346">
                  <c:v>42317</c:v>
                </c:pt>
                <c:pt idx="347">
                  <c:v>42314</c:v>
                </c:pt>
                <c:pt idx="348">
                  <c:v>42313</c:v>
                </c:pt>
                <c:pt idx="349">
                  <c:v>42312</c:v>
                </c:pt>
                <c:pt idx="350">
                  <c:v>42311</c:v>
                </c:pt>
                <c:pt idx="351">
                  <c:v>42310</c:v>
                </c:pt>
                <c:pt idx="352">
                  <c:v>42307</c:v>
                </c:pt>
                <c:pt idx="353">
                  <c:v>42306</c:v>
                </c:pt>
                <c:pt idx="354">
                  <c:v>42305</c:v>
                </c:pt>
                <c:pt idx="355">
                  <c:v>42304</c:v>
                </c:pt>
                <c:pt idx="356">
                  <c:v>42303</c:v>
                </c:pt>
                <c:pt idx="357">
                  <c:v>42300</c:v>
                </c:pt>
                <c:pt idx="358">
                  <c:v>42299</c:v>
                </c:pt>
                <c:pt idx="359">
                  <c:v>42298</c:v>
                </c:pt>
                <c:pt idx="360">
                  <c:v>42297</c:v>
                </c:pt>
                <c:pt idx="361">
                  <c:v>42296</c:v>
                </c:pt>
                <c:pt idx="362">
                  <c:v>42293</c:v>
                </c:pt>
                <c:pt idx="363">
                  <c:v>42292</c:v>
                </c:pt>
                <c:pt idx="364">
                  <c:v>42291</c:v>
                </c:pt>
                <c:pt idx="365">
                  <c:v>42290</c:v>
                </c:pt>
                <c:pt idx="366">
                  <c:v>42289</c:v>
                </c:pt>
                <c:pt idx="367">
                  <c:v>42286</c:v>
                </c:pt>
                <c:pt idx="368">
                  <c:v>42285</c:v>
                </c:pt>
                <c:pt idx="369">
                  <c:v>42284</c:v>
                </c:pt>
                <c:pt idx="370">
                  <c:v>42283</c:v>
                </c:pt>
                <c:pt idx="371">
                  <c:v>42282</c:v>
                </c:pt>
                <c:pt idx="372">
                  <c:v>42279</c:v>
                </c:pt>
                <c:pt idx="373">
                  <c:v>42278</c:v>
                </c:pt>
                <c:pt idx="374">
                  <c:v>42277</c:v>
                </c:pt>
                <c:pt idx="375">
                  <c:v>42276</c:v>
                </c:pt>
                <c:pt idx="376">
                  <c:v>42275</c:v>
                </c:pt>
                <c:pt idx="377">
                  <c:v>42272</c:v>
                </c:pt>
                <c:pt idx="378">
                  <c:v>42271</c:v>
                </c:pt>
                <c:pt idx="379">
                  <c:v>42270</c:v>
                </c:pt>
                <c:pt idx="380">
                  <c:v>42269</c:v>
                </c:pt>
                <c:pt idx="381">
                  <c:v>42268</c:v>
                </c:pt>
                <c:pt idx="382">
                  <c:v>42265</c:v>
                </c:pt>
                <c:pt idx="383">
                  <c:v>42264</c:v>
                </c:pt>
                <c:pt idx="384">
                  <c:v>42263</c:v>
                </c:pt>
                <c:pt idx="385">
                  <c:v>42262</c:v>
                </c:pt>
                <c:pt idx="386">
                  <c:v>42261</c:v>
                </c:pt>
                <c:pt idx="387">
                  <c:v>42258</c:v>
                </c:pt>
                <c:pt idx="388">
                  <c:v>42257</c:v>
                </c:pt>
                <c:pt idx="389">
                  <c:v>42256</c:v>
                </c:pt>
                <c:pt idx="390">
                  <c:v>42255</c:v>
                </c:pt>
                <c:pt idx="391">
                  <c:v>42251</c:v>
                </c:pt>
                <c:pt idx="392">
                  <c:v>42250</c:v>
                </c:pt>
                <c:pt idx="393">
                  <c:v>42249</c:v>
                </c:pt>
                <c:pt idx="394">
                  <c:v>42248</c:v>
                </c:pt>
                <c:pt idx="395">
                  <c:v>42247</c:v>
                </c:pt>
                <c:pt idx="396">
                  <c:v>42244</c:v>
                </c:pt>
                <c:pt idx="397">
                  <c:v>42243</c:v>
                </c:pt>
                <c:pt idx="398">
                  <c:v>42242</c:v>
                </c:pt>
                <c:pt idx="399">
                  <c:v>42241</c:v>
                </c:pt>
                <c:pt idx="400">
                  <c:v>42240</c:v>
                </c:pt>
                <c:pt idx="401">
                  <c:v>42237</c:v>
                </c:pt>
                <c:pt idx="402">
                  <c:v>42236</c:v>
                </c:pt>
                <c:pt idx="403">
                  <c:v>42235</c:v>
                </c:pt>
                <c:pt idx="404">
                  <c:v>42234</c:v>
                </c:pt>
                <c:pt idx="405">
                  <c:v>42233</c:v>
                </c:pt>
                <c:pt idx="406">
                  <c:v>42230</c:v>
                </c:pt>
                <c:pt idx="407">
                  <c:v>42229</c:v>
                </c:pt>
                <c:pt idx="408">
                  <c:v>42228</c:v>
                </c:pt>
                <c:pt idx="409">
                  <c:v>42227</c:v>
                </c:pt>
                <c:pt idx="410">
                  <c:v>42226</c:v>
                </c:pt>
                <c:pt idx="411">
                  <c:v>42223</c:v>
                </c:pt>
                <c:pt idx="412">
                  <c:v>42222</c:v>
                </c:pt>
                <c:pt idx="413">
                  <c:v>42221</c:v>
                </c:pt>
                <c:pt idx="414">
                  <c:v>42220</c:v>
                </c:pt>
                <c:pt idx="415">
                  <c:v>42219</c:v>
                </c:pt>
                <c:pt idx="416">
                  <c:v>42216</c:v>
                </c:pt>
                <c:pt idx="417">
                  <c:v>42215</c:v>
                </c:pt>
                <c:pt idx="418">
                  <c:v>42214</c:v>
                </c:pt>
                <c:pt idx="419">
                  <c:v>42213</c:v>
                </c:pt>
                <c:pt idx="420">
                  <c:v>42212</c:v>
                </c:pt>
                <c:pt idx="421">
                  <c:v>42209</c:v>
                </c:pt>
                <c:pt idx="422">
                  <c:v>42208</c:v>
                </c:pt>
                <c:pt idx="423">
                  <c:v>42207</c:v>
                </c:pt>
                <c:pt idx="424">
                  <c:v>42206</c:v>
                </c:pt>
                <c:pt idx="425">
                  <c:v>42205</c:v>
                </c:pt>
                <c:pt idx="426">
                  <c:v>42202</c:v>
                </c:pt>
                <c:pt idx="427">
                  <c:v>42201</c:v>
                </c:pt>
                <c:pt idx="428">
                  <c:v>42200</c:v>
                </c:pt>
                <c:pt idx="429">
                  <c:v>42199</c:v>
                </c:pt>
                <c:pt idx="430">
                  <c:v>42198</c:v>
                </c:pt>
                <c:pt idx="431">
                  <c:v>42195</c:v>
                </c:pt>
                <c:pt idx="432">
                  <c:v>42194</c:v>
                </c:pt>
                <c:pt idx="433">
                  <c:v>42193</c:v>
                </c:pt>
                <c:pt idx="434">
                  <c:v>42192</c:v>
                </c:pt>
                <c:pt idx="435">
                  <c:v>42191</c:v>
                </c:pt>
                <c:pt idx="436">
                  <c:v>42187</c:v>
                </c:pt>
                <c:pt idx="437">
                  <c:v>42186</c:v>
                </c:pt>
                <c:pt idx="438">
                  <c:v>42185</c:v>
                </c:pt>
                <c:pt idx="439">
                  <c:v>42184</c:v>
                </c:pt>
                <c:pt idx="440">
                  <c:v>42181</c:v>
                </c:pt>
                <c:pt idx="441">
                  <c:v>42180</c:v>
                </c:pt>
                <c:pt idx="442">
                  <c:v>42179</c:v>
                </c:pt>
                <c:pt idx="443">
                  <c:v>42178</c:v>
                </c:pt>
                <c:pt idx="444">
                  <c:v>42177</c:v>
                </c:pt>
                <c:pt idx="445">
                  <c:v>42174</c:v>
                </c:pt>
                <c:pt idx="446">
                  <c:v>42173</c:v>
                </c:pt>
                <c:pt idx="447">
                  <c:v>42172</c:v>
                </c:pt>
                <c:pt idx="448">
                  <c:v>42171</c:v>
                </c:pt>
                <c:pt idx="449">
                  <c:v>42170</c:v>
                </c:pt>
                <c:pt idx="450">
                  <c:v>42167</c:v>
                </c:pt>
                <c:pt idx="451">
                  <c:v>42166</c:v>
                </c:pt>
                <c:pt idx="452">
                  <c:v>42165</c:v>
                </c:pt>
                <c:pt idx="453">
                  <c:v>42164</c:v>
                </c:pt>
                <c:pt idx="454">
                  <c:v>42163</c:v>
                </c:pt>
                <c:pt idx="455">
                  <c:v>42160</c:v>
                </c:pt>
                <c:pt idx="456">
                  <c:v>42159</c:v>
                </c:pt>
                <c:pt idx="457">
                  <c:v>42158</c:v>
                </c:pt>
                <c:pt idx="458">
                  <c:v>42157</c:v>
                </c:pt>
                <c:pt idx="459">
                  <c:v>42156</c:v>
                </c:pt>
                <c:pt idx="460">
                  <c:v>42153</c:v>
                </c:pt>
                <c:pt idx="461">
                  <c:v>42152</c:v>
                </c:pt>
                <c:pt idx="462">
                  <c:v>42151</c:v>
                </c:pt>
                <c:pt idx="463">
                  <c:v>42150</c:v>
                </c:pt>
                <c:pt idx="464">
                  <c:v>42146</c:v>
                </c:pt>
                <c:pt idx="465">
                  <c:v>42145</c:v>
                </c:pt>
                <c:pt idx="466">
                  <c:v>42144</c:v>
                </c:pt>
                <c:pt idx="467">
                  <c:v>42143</c:v>
                </c:pt>
                <c:pt idx="468">
                  <c:v>42142</c:v>
                </c:pt>
                <c:pt idx="469">
                  <c:v>42139</c:v>
                </c:pt>
                <c:pt idx="470">
                  <c:v>42138</c:v>
                </c:pt>
                <c:pt idx="471">
                  <c:v>42137</c:v>
                </c:pt>
                <c:pt idx="472">
                  <c:v>42136</c:v>
                </c:pt>
                <c:pt idx="473">
                  <c:v>42135</c:v>
                </c:pt>
                <c:pt idx="474">
                  <c:v>42132</c:v>
                </c:pt>
                <c:pt idx="475">
                  <c:v>42131</c:v>
                </c:pt>
                <c:pt idx="476">
                  <c:v>42130</c:v>
                </c:pt>
                <c:pt idx="477">
                  <c:v>42129</c:v>
                </c:pt>
                <c:pt idx="478">
                  <c:v>42128</c:v>
                </c:pt>
                <c:pt idx="479">
                  <c:v>42125</c:v>
                </c:pt>
                <c:pt idx="480">
                  <c:v>42124</c:v>
                </c:pt>
                <c:pt idx="481">
                  <c:v>42123</c:v>
                </c:pt>
                <c:pt idx="482">
                  <c:v>42122</c:v>
                </c:pt>
                <c:pt idx="483">
                  <c:v>42121</c:v>
                </c:pt>
                <c:pt idx="484">
                  <c:v>42118</c:v>
                </c:pt>
                <c:pt idx="485">
                  <c:v>42117</c:v>
                </c:pt>
                <c:pt idx="486">
                  <c:v>42116</c:v>
                </c:pt>
                <c:pt idx="487">
                  <c:v>42115</c:v>
                </c:pt>
                <c:pt idx="488">
                  <c:v>42114</c:v>
                </c:pt>
                <c:pt idx="489">
                  <c:v>42111</c:v>
                </c:pt>
                <c:pt idx="490">
                  <c:v>42110</c:v>
                </c:pt>
                <c:pt idx="491">
                  <c:v>42109</c:v>
                </c:pt>
                <c:pt idx="492">
                  <c:v>42108</c:v>
                </c:pt>
                <c:pt idx="493">
                  <c:v>42107</c:v>
                </c:pt>
                <c:pt idx="494">
                  <c:v>42104</c:v>
                </c:pt>
                <c:pt idx="495">
                  <c:v>42103</c:v>
                </c:pt>
                <c:pt idx="496">
                  <c:v>42102</c:v>
                </c:pt>
                <c:pt idx="497">
                  <c:v>42101</c:v>
                </c:pt>
                <c:pt idx="498">
                  <c:v>42100</c:v>
                </c:pt>
                <c:pt idx="499">
                  <c:v>42096</c:v>
                </c:pt>
                <c:pt idx="500">
                  <c:v>42095</c:v>
                </c:pt>
                <c:pt idx="501">
                  <c:v>42094</c:v>
                </c:pt>
                <c:pt idx="502">
                  <c:v>42093</c:v>
                </c:pt>
                <c:pt idx="503">
                  <c:v>42090</c:v>
                </c:pt>
                <c:pt idx="504">
                  <c:v>42089</c:v>
                </c:pt>
                <c:pt idx="505">
                  <c:v>42088</c:v>
                </c:pt>
                <c:pt idx="506">
                  <c:v>42087</c:v>
                </c:pt>
                <c:pt idx="507">
                  <c:v>42086</c:v>
                </c:pt>
                <c:pt idx="508">
                  <c:v>42083</c:v>
                </c:pt>
                <c:pt idx="509">
                  <c:v>42082</c:v>
                </c:pt>
                <c:pt idx="510">
                  <c:v>42081</c:v>
                </c:pt>
                <c:pt idx="511">
                  <c:v>42080</c:v>
                </c:pt>
                <c:pt idx="512">
                  <c:v>42079</c:v>
                </c:pt>
                <c:pt idx="513">
                  <c:v>42076</c:v>
                </c:pt>
                <c:pt idx="514">
                  <c:v>42075</c:v>
                </c:pt>
                <c:pt idx="515">
                  <c:v>42074</c:v>
                </c:pt>
                <c:pt idx="516">
                  <c:v>42073</c:v>
                </c:pt>
                <c:pt idx="517">
                  <c:v>42072</c:v>
                </c:pt>
                <c:pt idx="518">
                  <c:v>42069</c:v>
                </c:pt>
                <c:pt idx="519">
                  <c:v>42068</c:v>
                </c:pt>
                <c:pt idx="520">
                  <c:v>42067</c:v>
                </c:pt>
                <c:pt idx="521">
                  <c:v>42066</c:v>
                </c:pt>
                <c:pt idx="522">
                  <c:v>42065</c:v>
                </c:pt>
                <c:pt idx="523">
                  <c:v>42062</c:v>
                </c:pt>
                <c:pt idx="524">
                  <c:v>42061</c:v>
                </c:pt>
                <c:pt idx="525">
                  <c:v>42060</c:v>
                </c:pt>
                <c:pt idx="526">
                  <c:v>42059</c:v>
                </c:pt>
                <c:pt idx="527">
                  <c:v>42058</c:v>
                </c:pt>
                <c:pt idx="528">
                  <c:v>42055</c:v>
                </c:pt>
                <c:pt idx="529">
                  <c:v>42054</c:v>
                </c:pt>
                <c:pt idx="530">
                  <c:v>42053</c:v>
                </c:pt>
                <c:pt idx="531">
                  <c:v>42052</c:v>
                </c:pt>
                <c:pt idx="532">
                  <c:v>42048</c:v>
                </c:pt>
                <c:pt idx="533">
                  <c:v>42047</c:v>
                </c:pt>
                <c:pt idx="534">
                  <c:v>42046</c:v>
                </c:pt>
                <c:pt idx="535">
                  <c:v>42045</c:v>
                </c:pt>
                <c:pt idx="536">
                  <c:v>42044</c:v>
                </c:pt>
                <c:pt idx="537">
                  <c:v>42041</c:v>
                </c:pt>
                <c:pt idx="538">
                  <c:v>42040</c:v>
                </c:pt>
                <c:pt idx="539">
                  <c:v>42039</c:v>
                </c:pt>
                <c:pt idx="540">
                  <c:v>42038</c:v>
                </c:pt>
                <c:pt idx="541">
                  <c:v>42037</c:v>
                </c:pt>
                <c:pt idx="542">
                  <c:v>42034</c:v>
                </c:pt>
                <c:pt idx="543">
                  <c:v>42033</c:v>
                </c:pt>
                <c:pt idx="544">
                  <c:v>42032</c:v>
                </c:pt>
                <c:pt idx="545">
                  <c:v>42031</c:v>
                </c:pt>
                <c:pt idx="546">
                  <c:v>42030</c:v>
                </c:pt>
                <c:pt idx="547">
                  <c:v>42027</c:v>
                </c:pt>
                <c:pt idx="548">
                  <c:v>42026</c:v>
                </c:pt>
                <c:pt idx="549">
                  <c:v>42025</c:v>
                </c:pt>
                <c:pt idx="550">
                  <c:v>42024</c:v>
                </c:pt>
                <c:pt idx="551">
                  <c:v>42020</c:v>
                </c:pt>
                <c:pt idx="552">
                  <c:v>42019</c:v>
                </c:pt>
                <c:pt idx="553">
                  <c:v>42018</c:v>
                </c:pt>
                <c:pt idx="554">
                  <c:v>42017</c:v>
                </c:pt>
                <c:pt idx="555">
                  <c:v>42016</c:v>
                </c:pt>
                <c:pt idx="556">
                  <c:v>42013</c:v>
                </c:pt>
                <c:pt idx="557">
                  <c:v>42012</c:v>
                </c:pt>
                <c:pt idx="558">
                  <c:v>42011</c:v>
                </c:pt>
                <c:pt idx="559">
                  <c:v>42010</c:v>
                </c:pt>
                <c:pt idx="560">
                  <c:v>42009</c:v>
                </c:pt>
                <c:pt idx="561">
                  <c:v>42006</c:v>
                </c:pt>
                <c:pt idx="562">
                  <c:v>42004</c:v>
                </c:pt>
                <c:pt idx="563">
                  <c:v>42003</c:v>
                </c:pt>
                <c:pt idx="564">
                  <c:v>42002</c:v>
                </c:pt>
                <c:pt idx="565">
                  <c:v>41999</c:v>
                </c:pt>
                <c:pt idx="566">
                  <c:v>41997</c:v>
                </c:pt>
                <c:pt idx="567">
                  <c:v>41996</c:v>
                </c:pt>
                <c:pt idx="568">
                  <c:v>41995</c:v>
                </c:pt>
                <c:pt idx="569">
                  <c:v>41992</c:v>
                </c:pt>
                <c:pt idx="570">
                  <c:v>41991</c:v>
                </c:pt>
                <c:pt idx="571">
                  <c:v>41990</c:v>
                </c:pt>
                <c:pt idx="572">
                  <c:v>41989</c:v>
                </c:pt>
                <c:pt idx="573">
                  <c:v>41988</c:v>
                </c:pt>
                <c:pt idx="574">
                  <c:v>41985</c:v>
                </c:pt>
                <c:pt idx="575">
                  <c:v>41984</c:v>
                </c:pt>
                <c:pt idx="576">
                  <c:v>41983</c:v>
                </c:pt>
                <c:pt idx="577">
                  <c:v>41982</c:v>
                </c:pt>
                <c:pt idx="578">
                  <c:v>41981</c:v>
                </c:pt>
                <c:pt idx="579">
                  <c:v>41978</c:v>
                </c:pt>
                <c:pt idx="580">
                  <c:v>41977</c:v>
                </c:pt>
                <c:pt idx="581">
                  <c:v>41976</c:v>
                </c:pt>
                <c:pt idx="582">
                  <c:v>41975</c:v>
                </c:pt>
                <c:pt idx="583">
                  <c:v>41974</c:v>
                </c:pt>
                <c:pt idx="584">
                  <c:v>41971</c:v>
                </c:pt>
                <c:pt idx="585">
                  <c:v>41969</c:v>
                </c:pt>
                <c:pt idx="586">
                  <c:v>41968</c:v>
                </c:pt>
                <c:pt idx="587">
                  <c:v>41967</c:v>
                </c:pt>
                <c:pt idx="588">
                  <c:v>41964</c:v>
                </c:pt>
                <c:pt idx="589">
                  <c:v>41963</c:v>
                </c:pt>
                <c:pt idx="590">
                  <c:v>41962</c:v>
                </c:pt>
                <c:pt idx="591">
                  <c:v>41961</c:v>
                </c:pt>
                <c:pt idx="592">
                  <c:v>41960</c:v>
                </c:pt>
                <c:pt idx="593">
                  <c:v>41957</c:v>
                </c:pt>
                <c:pt idx="594">
                  <c:v>41956</c:v>
                </c:pt>
                <c:pt idx="595">
                  <c:v>41955</c:v>
                </c:pt>
                <c:pt idx="596">
                  <c:v>41954</c:v>
                </c:pt>
                <c:pt idx="597">
                  <c:v>41953</c:v>
                </c:pt>
                <c:pt idx="598">
                  <c:v>41950</c:v>
                </c:pt>
                <c:pt idx="599">
                  <c:v>41949</c:v>
                </c:pt>
                <c:pt idx="600">
                  <c:v>41948</c:v>
                </c:pt>
                <c:pt idx="601">
                  <c:v>41947</c:v>
                </c:pt>
                <c:pt idx="602">
                  <c:v>41946</c:v>
                </c:pt>
                <c:pt idx="603">
                  <c:v>41943</c:v>
                </c:pt>
                <c:pt idx="604">
                  <c:v>41942</c:v>
                </c:pt>
                <c:pt idx="605">
                  <c:v>41941</c:v>
                </c:pt>
                <c:pt idx="606">
                  <c:v>41940</c:v>
                </c:pt>
                <c:pt idx="607">
                  <c:v>41939</c:v>
                </c:pt>
                <c:pt idx="608">
                  <c:v>41936</c:v>
                </c:pt>
                <c:pt idx="609">
                  <c:v>41935</c:v>
                </c:pt>
                <c:pt idx="610">
                  <c:v>41934</c:v>
                </c:pt>
                <c:pt idx="611">
                  <c:v>41933</c:v>
                </c:pt>
                <c:pt idx="612">
                  <c:v>41932</c:v>
                </c:pt>
                <c:pt idx="613">
                  <c:v>41929</c:v>
                </c:pt>
                <c:pt idx="614">
                  <c:v>41928</c:v>
                </c:pt>
                <c:pt idx="615">
                  <c:v>41927</c:v>
                </c:pt>
                <c:pt idx="616">
                  <c:v>41926</c:v>
                </c:pt>
                <c:pt idx="617">
                  <c:v>41925</c:v>
                </c:pt>
                <c:pt idx="618">
                  <c:v>41922</c:v>
                </c:pt>
                <c:pt idx="619">
                  <c:v>41921</c:v>
                </c:pt>
                <c:pt idx="620">
                  <c:v>41920</c:v>
                </c:pt>
                <c:pt idx="621">
                  <c:v>41919</c:v>
                </c:pt>
                <c:pt idx="622">
                  <c:v>41918</c:v>
                </c:pt>
                <c:pt idx="623">
                  <c:v>41915</c:v>
                </c:pt>
                <c:pt idx="624">
                  <c:v>41914</c:v>
                </c:pt>
                <c:pt idx="625">
                  <c:v>41913</c:v>
                </c:pt>
                <c:pt idx="626">
                  <c:v>41912</c:v>
                </c:pt>
                <c:pt idx="627">
                  <c:v>41911</c:v>
                </c:pt>
                <c:pt idx="628">
                  <c:v>41908</c:v>
                </c:pt>
                <c:pt idx="629">
                  <c:v>41907</c:v>
                </c:pt>
                <c:pt idx="630">
                  <c:v>41906</c:v>
                </c:pt>
                <c:pt idx="631">
                  <c:v>41905</c:v>
                </c:pt>
                <c:pt idx="632">
                  <c:v>41904</c:v>
                </c:pt>
                <c:pt idx="633">
                  <c:v>41901</c:v>
                </c:pt>
                <c:pt idx="634">
                  <c:v>41900</c:v>
                </c:pt>
                <c:pt idx="635">
                  <c:v>41899</c:v>
                </c:pt>
                <c:pt idx="636">
                  <c:v>41898</c:v>
                </c:pt>
                <c:pt idx="637">
                  <c:v>41897</c:v>
                </c:pt>
                <c:pt idx="638">
                  <c:v>41894</c:v>
                </c:pt>
                <c:pt idx="639">
                  <c:v>41893</c:v>
                </c:pt>
                <c:pt idx="640">
                  <c:v>41892</c:v>
                </c:pt>
                <c:pt idx="641">
                  <c:v>41891</c:v>
                </c:pt>
                <c:pt idx="642">
                  <c:v>41890</c:v>
                </c:pt>
                <c:pt idx="643">
                  <c:v>41887</c:v>
                </c:pt>
                <c:pt idx="644">
                  <c:v>41886</c:v>
                </c:pt>
                <c:pt idx="645">
                  <c:v>41885</c:v>
                </c:pt>
                <c:pt idx="646">
                  <c:v>41884</c:v>
                </c:pt>
                <c:pt idx="647">
                  <c:v>41880</c:v>
                </c:pt>
                <c:pt idx="648">
                  <c:v>41879</c:v>
                </c:pt>
                <c:pt idx="649">
                  <c:v>41878</c:v>
                </c:pt>
                <c:pt idx="650">
                  <c:v>41877</c:v>
                </c:pt>
                <c:pt idx="651">
                  <c:v>41876</c:v>
                </c:pt>
                <c:pt idx="652">
                  <c:v>41873</c:v>
                </c:pt>
                <c:pt idx="653">
                  <c:v>41872</c:v>
                </c:pt>
                <c:pt idx="654">
                  <c:v>41871</c:v>
                </c:pt>
                <c:pt idx="655">
                  <c:v>41870</c:v>
                </c:pt>
                <c:pt idx="656">
                  <c:v>41869</c:v>
                </c:pt>
                <c:pt idx="657">
                  <c:v>41866</c:v>
                </c:pt>
                <c:pt idx="658">
                  <c:v>41865</c:v>
                </c:pt>
                <c:pt idx="659">
                  <c:v>41864</c:v>
                </c:pt>
                <c:pt idx="660">
                  <c:v>41863</c:v>
                </c:pt>
                <c:pt idx="661">
                  <c:v>41862</c:v>
                </c:pt>
                <c:pt idx="662">
                  <c:v>41859</c:v>
                </c:pt>
                <c:pt idx="663">
                  <c:v>41858</c:v>
                </c:pt>
                <c:pt idx="664">
                  <c:v>41857</c:v>
                </c:pt>
                <c:pt idx="665">
                  <c:v>41856</c:v>
                </c:pt>
                <c:pt idx="666">
                  <c:v>41855</c:v>
                </c:pt>
                <c:pt idx="667">
                  <c:v>41852</c:v>
                </c:pt>
                <c:pt idx="668">
                  <c:v>41851</c:v>
                </c:pt>
                <c:pt idx="669">
                  <c:v>41850</c:v>
                </c:pt>
                <c:pt idx="670">
                  <c:v>41849</c:v>
                </c:pt>
                <c:pt idx="671">
                  <c:v>41848</c:v>
                </c:pt>
                <c:pt idx="672">
                  <c:v>41845</c:v>
                </c:pt>
                <c:pt idx="673">
                  <c:v>41844</c:v>
                </c:pt>
                <c:pt idx="674">
                  <c:v>41843</c:v>
                </c:pt>
                <c:pt idx="675">
                  <c:v>41842</c:v>
                </c:pt>
                <c:pt idx="676">
                  <c:v>41841</c:v>
                </c:pt>
                <c:pt idx="677">
                  <c:v>41838</c:v>
                </c:pt>
                <c:pt idx="678">
                  <c:v>41837</c:v>
                </c:pt>
                <c:pt idx="679">
                  <c:v>41836</c:v>
                </c:pt>
                <c:pt idx="680">
                  <c:v>41835</c:v>
                </c:pt>
                <c:pt idx="681">
                  <c:v>41834</c:v>
                </c:pt>
                <c:pt idx="682">
                  <c:v>41831</c:v>
                </c:pt>
                <c:pt idx="683">
                  <c:v>41830</c:v>
                </c:pt>
                <c:pt idx="684">
                  <c:v>41829</c:v>
                </c:pt>
                <c:pt idx="685">
                  <c:v>41828</c:v>
                </c:pt>
                <c:pt idx="686">
                  <c:v>41827</c:v>
                </c:pt>
                <c:pt idx="687">
                  <c:v>41823</c:v>
                </c:pt>
                <c:pt idx="688">
                  <c:v>41822</c:v>
                </c:pt>
                <c:pt idx="689">
                  <c:v>41821</c:v>
                </c:pt>
                <c:pt idx="690">
                  <c:v>41820</c:v>
                </c:pt>
                <c:pt idx="691">
                  <c:v>41817</c:v>
                </c:pt>
                <c:pt idx="692">
                  <c:v>41816</c:v>
                </c:pt>
                <c:pt idx="693">
                  <c:v>41815</c:v>
                </c:pt>
                <c:pt idx="694">
                  <c:v>41814</c:v>
                </c:pt>
                <c:pt idx="695">
                  <c:v>41813</c:v>
                </c:pt>
                <c:pt idx="696">
                  <c:v>41810</c:v>
                </c:pt>
                <c:pt idx="697">
                  <c:v>41809</c:v>
                </c:pt>
                <c:pt idx="698">
                  <c:v>41808</c:v>
                </c:pt>
                <c:pt idx="699">
                  <c:v>41807</c:v>
                </c:pt>
                <c:pt idx="700">
                  <c:v>41806</c:v>
                </c:pt>
                <c:pt idx="701">
                  <c:v>41803</c:v>
                </c:pt>
                <c:pt idx="702">
                  <c:v>41802</c:v>
                </c:pt>
                <c:pt idx="703">
                  <c:v>41801</c:v>
                </c:pt>
                <c:pt idx="704">
                  <c:v>41800</c:v>
                </c:pt>
                <c:pt idx="705">
                  <c:v>41799</c:v>
                </c:pt>
                <c:pt idx="706">
                  <c:v>41796</c:v>
                </c:pt>
                <c:pt idx="707">
                  <c:v>41795</c:v>
                </c:pt>
                <c:pt idx="708">
                  <c:v>41794</c:v>
                </c:pt>
                <c:pt idx="709">
                  <c:v>41793</c:v>
                </c:pt>
                <c:pt idx="710">
                  <c:v>41792</c:v>
                </c:pt>
                <c:pt idx="711">
                  <c:v>41789</c:v>
                </c:pt>
                <c:pt idx="712">
                  <c:v>41788</c:v>
                </c:pt>
                <c:pt idx="713">
                  <c:v>41787</c:v>
                </c:pt>
                <c:pt idx="714">
                  <c:v>41786</c:v>
                </c:pt>
                <c:pt idx="715">
                  <c:v>41782</c:v>
                </c:pt>
                <c:pt idx="716">
                  <c:v>41781</c:v>
                </c:pt>
                <c:pt idx="717">
                  <c:v>41780</c:v>
                </c:pt>
                <c:pt idx="718">
                  <c:v>41779</c:v>
                </c:pt>
                <c:pt idx="719">
                  <c:v>41778</c:v>
                </c:pt>
                <c:pt idx="720">
                  <c:v>41775</c:v>
                </c:pt>
                <c:pt idx="721">
                  <c:v>41774</c:v>
                </c:pt>
                <c:pt idx="722">
                  <c:v>41773</c:v>
                </c:pt>
                <c:pt idx="723">
                  <c:v>41772</c:v>
                </c:pt>
                <c:pt idx="724">
                  <c:v>41771</c:v>
                </c:pt>
                <c:pt idx="725">
                  <c:v>41768</c:v>
                </c:pt>
                <c:pt idx="726">
                  <c:v>41767</c:v>
                </c:pt>
                <c:pt idx="727">
                  <c:v>41766</c:v>
                </c:pt>
                <c:pt idx="728">
                  <c:v>41765</c:v>
                </c:pt>
                <c:pt idx="729">
                  <c:v>41764</c:v>
                </c:pt>
                <c:pt idx="730">
                  <c:v>41761</c:v>
                </c:pt>
                <c:pt idx="731">
                  <c:v>41760</c:v>
                </c:pt>
                <c:pt idx="732">
                  <c:v>41759</c:v>
                </c:pt>
                <c:pt idx="733">
                  <c:v>41758</c:v>
                </c:pt>
                <c:pt idx="734">
                  <c:v>41757</c:v>
                </c:pt>
                <c:pt idx="735">
                  <c:v>41754</c:v>
                </c:pt>
                <c:pt idx="736">
                  <c:v>41753</c:v>
                </c:pt>
                <c:pt idx="737">
                  <c:v>41752</c:v>
                </c:pt>
                <c:pt idx="738">
                  <c:v>41751</c:v>
                </c:pt>
                <c:pt idx="739">
                  <c:v>41750</c:v>
                </c:pt>
                <c:pt idx="740">
                  <c:v>41746</c:v>
                </c:pt>
                <c:pt idx="741">
                  <c:v>41745</c:v>
                </c:pt>
                <c:pt idx="742">
                  <c:v>41744</c:v>
                </c:pt>
                <c:pt idx="743">
                  <c:v>41743</c:v>
                </c:pt>
                <c:pt idx="744">
                  <c:v>41740</c:v>
                </c:pt>
                <c:pt idx="745">
                  <c:v>41739</c:v>
                </c:pt>
                <c:pt idx="746">
                  <c:v>41738</c:v>
                </c:pt>
                <c:pt idx="747">
                  <c:v>41737</c:v>
                </c:pt>
                <c:pt idx="748">
                  <c:v>41736</c:v>
                </c:pt>
                <c:pt idx="749">
                  <c:v>41733</c:v>
                </c:pt>
                <c:pt idx="750">
                  <c:v>41732</c:v>
                </c:pt>
                <c:pt idx="751">
                  <c:v>41731</c:v>
                </c:pt>
                <c:pt idx="752">
                  <c:v>41730</c:v>
                </c:pt>
                <c:pt idx="753">
                  <c:v>41729</c:v>
                </c:pt>
                <c:pt idx="754">
                  <c:v>41726</c:v>
                </c:pt>
                <c:pt idx="755">
                  <c:v>41725</c:v>
                </c:pt>
                <c:pt idx="756">
                  <c:v>41724</c:v>
                </c:pt>
                <c:pt idx="757">
                  <c:v>41723</c:v>
                </c:pt>
                <c:pt idx="758">
                  <c:v>41722</c:v>
                </c:pt>
                <c:pt idx="759">
                  <c:v>41719</c:v>
                </c:pt>
                <c:pt idx="760">
                  <c:v>41718</c:v>
                </c:pt>
                <c:pt idx="761">
                  <c:v>41717</c:v>
                </c:pt>
                <c:pt idx="762">
                  <c:v>41716</c:v>
                </c:pt>
                <c:pt idx="763">
                  <c:v>41715</c:v>
                </c:pt>
                <c:pt idx="764">
                  <c:v>41712</c:v>
                </c:pt>
                <c:pt idx="765">
                  <c:v>41711</c:v>
                </c:pt>
                <c:pt idx="766">
                  <c:v>41710</c:v>
                </c:pt>
                <c:pt idx="767">
                  <c:v>41709</c:v>
                </c:pt>
                <c:pt idx="768">
                  <c:v>41708</c:v>
                </c:pt>
                <c:pt idx="769">
                  <c:v>41705</c:v>
                </c:pt>
                <c:pt idx="770">
                  <c:v>41704</c:v>
                </c:pt>
                <c:pt idx="771">
                  <c:v>41703</c:v>
                </c:pt>
                <c:pt idx="772">
                  <c:v>41702</c:v>
                </c:pt>
                <c:pt idx="773">
                  <c:v>41701</c:v>
                </c:pt>
                <c:pt idx="774">
                  <c:v>41698</c:v>
                </c:pt>
                <c:pt idx="775">
                  <c:v>41697</c:v>
                </c:pt>
                <c:pt idx="776">
                  <c:v>41696</c:v>
                </c:pt>
                <c:pt idx="777">
                  <c:v>41695</c:v>
                </c:pt>
                <c:pt idx="778">
                  <c:v>41694</c:v>
                </c:pt>
                <c:pt idx="779">
                  <c:v>41691</c:v>
                </c:pt>
                <c:pt idx="780">
                  <c:v>41690</c:v>
                </c:pt>
                <c:pt idx="781">
                  <c:v>41689</c:v>
                </c:pt>
                <c:pt idx="782">
                  <c:v>41688</c:v>
                </c:pt>
                <c:pt idx="783">
                  <c:v>41684</c:v>
                </c:pt>
                <c:pt idx="784">
                  <c:v>41683</c:v>
                </c:pt>
                <c:pt idx="785">
                  <c:v>41682</c:v>
                </c:pt>
                <c:pt idx="786">
                  <c:v>41681</c:v>
                </c:pt>
                <c:pt idx="787">
                  <c:v>41680</c:v>
                </c:pt>
                <c:pt idx="788">
                  <c:v>41677</c:v>
                </c:pt>
                <c:pt idx="789">
                  <c:v>41676</c:v>
                </c:pt>
                <c:pt idx="790">
                  <c:v>41675</c:v>
                </c:pt>
                <c:pt idx="791">
                  <c:v>41674</c:v>
                </c:pt>
                <c:pt idx="792">
                  <c:v>41673</c:v>
                </c:pt>
                <c:pt idx="793">
                  <c:v>41670</c:v>
                </c:pt>
                <c:pt idx="794">
                  <c:v>41669</c:v>
                </c:pt>
                <c:pt idx="795">
                  <c:v>41668</c:v>
                </c:pt>
                <c:pt idx="796">
                  <c:v>41667</c:v>
                </c:pt>
                <c:pt idx="797">
                  <c:v>41666</c:v>
                </c:pt>
                <c:pt idx="798">
                  <c:v>41663</c:v>
                </c:pt>
                <c:pt idx="799">
                  <c:v>41662</c:v>
                </c:pt>
                <c:pt idx="800">
                  <c:v>41661</c:v>
                </c:pt>
                <c:pt idx="801">
                  <c:v>41660</c:v>
                </c:pt>
                <c:pt idx="802">
                  <c:v>41656</c:v>
                </c:pt>
                <c:pt idx="803">
                  <c:v>41655</c:v>
                </c:pt>
                <c:pt idx="804">
                  <c:v>41654</c:v>
                </c:pt>
                <c:pt idx="805">
                  <c:v>41653</c:v>
                </c:pt>
                <c:pt idx="806">
                  <c:v>41652</c:v>
                </c:pt>
                <c:pt idx="807">
                  <c:v>41649</c:v>
                </c:pt>
                <c:pt idx="808">
                  <c:v>41648</c:v>
                </c:pt>
                <c:pt idx="809">
                  <c:v>41647</c:v>
                </c:pt>
                <c:pt idx="810">
                  <c:v>41646</c:v>
                </c:pt>
                <c:pt idx="811">
                  <c:v>41645</c:v>
                </c:pt>
                <c:pt idx="812">
                  <c:v>41642</c:v>
                </c:pt>
                <c:pt idx="813">
                  <c:v>41641</c:v>
                </c:pt>
              </c:numCache>
            </c:numRef>
          </c:cat>
          <c:val>
            <c:numRef>
              <c:f>'Oil Price and factors'!$B$5:$B$818</c:f>
              <c:numCache>
                <c:formatCode>General</c:formatCode>
                <c:ptCount val="814"/>
                <c:pt idx="0">
                  <c:v>47.02</c:v>
                </c:pt>
                <c:pt idx="1">
                  <c:v>47.3</c:v>
                </c:pt>
                <c:pt idx="2">
                  <c:v>47</c:v>
                </c:pt>
                <c:pt idx="3">
                  <c:v>47.29</c:v>
                </c:pt>
                <c:pt idx="4">
                  <c:v>47.02</c:v>
                </c:pt>
                <c:pt idx="5">
                  <c:v>47.79</c:v>
                </c:pt>
                <c:pt idx="6">
                  <c:v>48.34</c:v>
                </c:pt>
                <c:pt idx="7">
                  <c:v>48.3</c:v>
                </c:pt>
                <c:pt idx="8">
                  <c:v>48.34</c:v>
                </c:pt>
                <c:pt idx="9">
                  <c:v>47.24</c:v>
                </c:pt>
                <c:pt idx="10">
                  <c:v>47.95</c:v>
                </c:pt>
                <c:pt idx="11">
                  <c:v>48.05</c:v>
                </c:pt>
                <c:pt idx="12">
                  <c:v>48.75</c:v>
                </c:pt>
                <c:pt idx="13">
                  <c:v>49.83</c:v>
                </c:pt>
                <c:pt idx="14">
                  <c:v>52.68</c:v>
                </c:pt>
                <c:pt idx="15">
                  <c:v>53.19</c:v>
                </c:pt>
                <c:pt idx="16">
                  <c:v>53.33</c:v>
                </c:pt>
                <c:pt idx="17">
                  <c:v>52.63</c:v>
                </c:pt>
                <c:pt idx="18">
                  <c:v>53.82</c:v>
                </c:pt>
                <c:pt idx="19">
                  <c:v>54</c:v>
                </c:pt>
                <c:pt idx="20">
                  <c:v>54.04</c:v>
                </c:pt>
                <c:pt idx="21">
                  <c:v>53.99</c:v>
                </c:pt>
                <c:pt idx="22">
                  <c:v>54.48</c:v>
                </c:pt>
                <c:pt idx="23">
                  <c:v>53.61</c:v>
                </c:pt>
                <c:pt idx="24">
                  <c:v>54.02</c:v>
                </c:pt>
                <c:pt idx="25">
                  <c:v>53.41</c:v>
                </c:pt>
                <c:pt idx="26">
                  <c:v>53.41</c:v>
                </c:pt>
                <c:pt idx="27">
                  <c:v>53.11</c:v>
                </c:pt>
                <c:pt idx="28">
                  <c:v>53.21</c:v>
                </c:pt>
                <c:pt idx="29">
                  <c:v>52.96</c:v>
                </c:pt>
                <c:pt idx="30">
                  <c:v>53.84</c:v>
                </c:pt>
                <c:pt idx="31">
                  <c:v>52.99</c:v>
                </c:pt>
                <c:pt idx="32">
                  <c:v>52.37</c:v>
                </c:pt>
                <c:pt idx="33">
                  <c:v>52.19</c:v>
                </c:pt>
                <c:pt idx="34">
                  <c:v>53.01</c:v>
                </c:pt>
                <c:pt idx="35">
                  <c:v>53.81</c:v>
                </c:pt>
                <c:pt idx="36">
                  <c:v>53.55</c:v>
                </c:pt>
                <c:pt idx="37">
                  <c:v>53.9</c:v>
                </c:pt>
                <c:pt idx="38">
                  <c:v>52.75</c:v>
                </c:pt>
                <c:pt idx="39">
                  <c:v>52.63</c:v>
                </c:pt>
                <c:pt idx="40">
                  <c:v>53.18</c:v>
                </c:pt>
                <c:pt idx="41">
                  <c:v>53.24</c:v>
                </c:pt>
                <c:pt idx="42">
                  <c:v>52.14</c:v>
                </c:pt>
                <c:pt idx="43">
                  <c:v>52.38</c:v>
                </c:pt>
                <c:pt idx="44">
                  <c:v>52.77</c:v>
                </c:pt>
                <c:pt idx="45">
                  <c:v>52.33</c:v>
                </c:pt>
                <c:pt idx="46">
                  <c:v>51.39</c:v>
                </c:pt>
                <c:pt idx="47">
                  <c:v>51.12</c:v>
                </c:pt>
                <c:pt idx="48">
                  <c:v>52.45</c:v>
                </c:pt>
                <c:pt idx="49">
                  <c:v>52.36</c:v>
                </c:pt>
                <c:pt idx="50">
                  <c:v>53.01</c:v>
                </c:pt>
                <c:pt idx="51">
                  <c:v>52.19</c:v>
                </c:pt>
                <c:pt idx="52">
                  <c:v>50.82</c:v>
                </c:pt>
                <c:pt idx="53">
                  <c:v>51.95</c:v>
                </c:pt>
                <c:pt idx="54">
                  <c:v>53.98</c:v>
                </c:pt>
                <c:pt idx="55">
                  <c:v>53.77</c:v>
                </c:pt>
                <c:pt idx="56">
                  <c:v>53.26</c:v>
                </c:pt>
                <c:pt idx="57">
                  <c:v>52.36</c:v>
                </c:pt>
                <c:pt idx="58">
                  <c:v>53.75</c:v>
                </c:pt>
                <c:pt idx="59">
                  <c:v>53.8</c:v>
                </c:pt>
                <c:pt idx="60">
                  <c:v>54.01</c:v>
                </c:pt>
                <c:pt idx="61">
                  <c:v>52.82</c:v>
                </c:pt>
                <c:pt idx="62">
                  <c:v>52.01</c:v>
                </c:pt>
                <c:pt idx="63">
                  <c:v>51.98</c:v>
                </c:pt>
                <c:pt idx="64">
                  <c:v>51.44</c:v>
                </c:pt>
                <c:pt idx="65">
                  <c:v>52.22</c:v>
                </c:pt>
                <c:pt idx="66">
                  <c:v>52.13</c:v>
                </c:pt>
                <c:pt idx="67">
                  <c:v>51.93</c:v>
                </c:pt>
                <c:pt idx="68">
                  <c:v>50.9</c:v>
                </c:pt>
                <c:pt idx="69">
                  <c:v>51.01</c:v>
                </c:pt>
                <c:pt idx="70">
                  <c:v>52.99</c:v>
                </c:pt>
                <c:pt idx="71">
                  <c:v>52.74</c:v>
                </c:pt>
                <c:pt idx="72">
                  <c:v>51.51</c:v>
                </c:pt>
                <c:pt idx="73">
                  <c:v>50.84</c:v>
                </c:pt>
                <c:pt idx="74">
                  <c:v>49.85</c:v>
                </c:pt>
                <c:pt idx="75">
                  <c:v>50.95</c:v>
                </c:pt>
                <c:pt idx="76">
                  <c:v>51.72</c:v>
                </c:pt>
                <c:pt idx="77">
                  <c:v>51.7</c:v>
                </c:pt>
                <c:pt idx="78">
                  <c:v>51.08</c:v>
                </c:pt>
                <c:pt idx="79">
                  <c:v>49.41</c:v>
                </c:pt>
                <c:pt idx="80">
                  <c:v>45.29</c:v>
                </c:pt>
                <c:pt idx="81">
                  <c:v>45.66</c:v>
                </c:pt>
                <c:pt idx="82">
                  <c:v>46.72</c:v>
                </c:pt>
                <c:pt idx="83">
                  <c:v>46.72</c:v>
                </c:pt>
                <c:pt idx="84">
                  <c:v>48.07</c:v>
                </c:pt>
                <c:pt idx="85">
                  <c:v>47.48</c:v>
                </c:pt>
                <c:pt idx="86">
                  <c:v>45.69</c:v>
                </c:pt>
                <c:pt idx="87">
                  <c:v>45.37</c:v>
                </c:pt>
                <c:pt idx="88">
                  <c:v>45.56</c:v>
                </c:pt>
                <c:pt idx="89">
                  <c:v>45.86</c:v>
                </c:pt>
                <c:pt idx="90">
                  <c:v>43.29</c:v>
                </c:pt>
                <c:pt idx="91">
                  <c:v>43.39</c:v>
                </c:pt>
                <c:pt idx="92">
                  <c:v>44.62</c:v>
                </c:pt>
                <c:pt idx="93">
                  <c:v>45.2</c:v>
                </c:pt>
                <c:pt idx="94">
                  <c:v>44.96</c:v>
                </c:pt>
                <c:pt idx="95">
                  <c:v>44.88</c:v>
                </c:pt>
                <c:pt idx="96">
                  <c:v>44.07</c:v>
                </c:pt>
                <c:pt idx="97">
                  <c:v>44.66</c:v>
                </c:pt>
                <c:pt idx="98">
                  <c:v>45.32</c:v>
                </c:pt>
                <c:pt idx="99">
                  <c:v>46.66</c:v>
                </c:pt>
                <c:pt idx="100">
                  <c:v>46.83</c:v>
                </c:pt>
                <c:pt idx="101">
                  <c:v>48.72</c:v>
                </c:pt>
                <c:pt idx="102">
                  <c:v>49.71</c:v>
                </c:pt>
                <c:pt idx="103">
                  <c:v>48.75</c:v>
                </c:pt>
                <c:pt idx="104">
                  <c:v>49.45</c:v>
                </c:pt>
                <c:pt idx="105">
                  <c:v>50.18</c:v>
                </c:pt>
                <c:pt idx="106">
                  <c:v>50.61</c:v>
                </c:pt>
                <c:pt idx="107">
                  <c:v>50.31</c:v>
                </c:pt>
                <c:pt idx="108">
                  <c:v>51.59</c:v>
                </c:pt>
                <c:pt idx="109">
                  <c:v>50.3</c:v>
                </c:pt>
                <c:pt idx="110">
                  <c:v>49.97</c:v>
                </c:pt>
                <c:pt idx="111">
                  <c:v>50.35</c:v>
                </c:pt>
                <c:pt idx="112">
                  <c:v>50.47</c:v>
                </c:pt>
                <c:pt idx="113">
                  <c:v>50.14</c:v>
                </c:pt>
                <c:pt idx="114">
                  <c:v>50.72</c:v>
                </c:pt>
                <c:pt idx="115">
                  <c:v>49.76</c:v>
                </c:pt>
                <c:pt idx="116">
                  <c:v>49.76</c:v>
                </c:pt>
                <c:pt idx="117">
                  <c:v>50.44</c:v>
                </c:pt>
                <c:pt idx="118">
                  <c:v>49.75</c:v>
                </c:pt>
                <c:pt idx="119">
                  <c:v>48.67</c:v>
                </c:pt>
                <c:pt idx="120">
                  <c:v>48.8</c:v>
                </c:pt>
                <c:pt idx="121">
                  <c:v>47.72</c:v>
                </c:pt>
                <c:pt idx="122">
                  <c:v>47.72</c:v>
                </c:pt>
                <c:pt idx="123">
                  <c:v>47.07</c:v>
                </c:pt>
                <c:pt idx="124">
                  <c:v>44.65</c:v>
                </c:pt>
                <c:pt idx="125">
                  <c:v>45.6</c:v>
                </c:pt>
                <c:pt idx="126">
                  <c:v>44.36</c:v>
                </c:pt>
                <c:pt idx="127">
                  <c:v>46.1</c:v>
                </c:pt>
                <c:pt idx="128">
                  <c:v>45.33</c:v>
                </c:pt>
                <c:pt idx="129">
                  <c:v>43.85</c:v>
                </c:pt>
                <c:pt idx="130">
                  <c:v>43.34</c:v>
                </c:pt>
                <c:pt idx="131">
                  <c:v>43.04</c:v>
                </c:pt>
                <c:pt idx="132">
                  <c:v>43.85</c:v>
                </c:pt>
                <c:pt idx="133">
                  <c:v>43.62</c:v>
                </c:pt>
                <c:pt idx="134">
                  <c:v>44.91</c:v>
                </c:pt>
                <c:pt idx="135">
                  <c:v>46.28</c:v>
                </c:pt>
                <c:pt idx="136">
                  <c:v>45.88</c:v>
                </c:pt>
                <c:pt idx="137">
                  <c:v>47.63</c:v>
                </c:pt>
                <c:pt idx="138">
                  <c:v>45.47</c:v>
                </c:pt>
                <c:pt idx="139">
                  <c:v>44.85</c:v>
                </c:pt>
                <c:pt idx="140">
                  <c:v>44.39</c:v>
                </c:pt>
                <c:pt idx="141">
                  <c:v>43.17</c:v>
                </c:pt>
                <c:pt idx="142">
                  <c:v>44.68</c:v>
                </c:pt>
                <c:pt idx="143">
                  <c:v>46.32</c:v>
                </c:pt>
                <c:pt idx="144">
                  <c:v>46.97</c:v>
                </c:pt>
                <c:pt idx="145">
                  <c:v>47.64</c:v>
                </c:pt>
                <c:pt idx="146">
                  <c:v>46.97</c:v>
                </c:pt>
                <c:pt idx="147">
                  <c:v>46.29</c:v>
                </c:pt>
                <c:pt idx="148">
                  <c:v>47.54</c:v>
                </c:pt>
                <c:pt idx="149">
                  <c:v>46.8</c:v>
                </c:pt>
                <c:pt idx="150">
                  <c:v>48.48</c:v>
                </c:pt>
                <c:pt idx="151">
                  <c:v>48.2</c:v>
                </c:pt>
                <c:pt idx="152">
                  <c:v>46.81</c:v>
                </c:pt>
                <c:pt idx="153">
                  <c:v>46.57</c:v>
                </c:pt>
                <c:pt idx="154">
                  <c:v>45.72</c:v>
                </c:pt>
                <c:pt idx="155">
                  <c:v>44.47</c:v>
                </c:pt>
                <c:pt idx="156">
                  <c:v>43.51</c:v>
                </c:pt>
                <c:pt idx="157">
                  <c:v>41.75</c:v>
                </c:pt>
                <c:pt idx="158">
                  <c:v>42.78</c:v>
                </c:pt>
                <c:pt idx="159">
                  <c:v>43.06</c:v>
                </c:pt>
                <c:pt idx="160">
                  <c:v>41.83</c:v>
                </c:pt>
                <c:pt idx="161">
                  <c:v>41.92</c:v>
                </c:pt>
                <c:pt idx="162">
                  <c:v>40.799999999999997</c:v>
                </c:pt>
                <c:pt idx="163">
                  <c:v>39.5</c:v>
                </c:pt>
                <c:pt idx="164">
                  <c:v>40.049999999999997</c:v>
                </c:pt>
                <c:pt idx="165">
                  <c:v>41.54</c:v>
                </c:pt>
                <c:pt idx="166">
                  <c:v>41.13</c:v>
                </c:pt>
                <c:pt idx="167">
                  <c:v>41.9</c:v>
                </c:pt>
                <c:pt idx="168">
                  <c:v>42.16</c:v>
                </c:pt>
                <c:pt idx="169">
                  <c:v>42.4</c:v>
                </c:pt>
                <c:pt idx="170">
                  <c:v>43.41</c:v>
                </c:pt>
                <c:pt idx="171">
                  <c:v>43.96</c:v>
                </c:pt>
                <c:pt idx="172">
                  <c:v>44.96</c:v>
                </c:pt>
                <c:pt idx="173">
                  <c:v>44.64</c:v>
                </c:pt>
                <c:pt idx="174">
                  <c:v>45.23</c:v>
                </c:pt>
                <c:pt idx="175">
                  <c:v>45.93</c:v>
                </c:pt>
                <c:pt idx="176">
                  <c:v>45.64</c:v>
                </c:pt>
                <c:pt idx="177">
                  <c:v>44.87</c:v>
                </c:pt>
                <c:pt idx="178">
                  <c:v>46.82</c:v>
                </c:pt>
                <c:pt idx="179">
                  <c:v>44.73</c:v>
                </c:pt>
                <c:pt idx="180">
                  <c:v>45.37</c:v>
                </c:pt>
                <c:pt idx="181">
                  <c:v>45.22</c:v>
                </c:pt>
                <c:pt idx="182">
                  <c:v>47.37</c:v>
                </c:pt>
                <c:pt idx="183">
                  <c:v>46.73</c:v>
                </c:pt>
                <c:pt idx="184">
                  <c:v>49.02</c:v>
                </c:pt>
                <c:pt idx="185">
                  <c:v>48.27</c:v>
                </c:pt>
                <c:pt idx="186">
                  <c:v>49.85</c:v>
                </c:pt>
                <c:pt idx="187">
                  <c:v>47.93</c:v>
                </c:pt>
                <c:pt idx="188">
                  <c:v>45.8</c:v>
                </c:pt>
                <c:pt idx="189">
                  <c:v>46.7</c:v>
                </c:pt>
                <c:pt idx="190">
                  <c:v>49.34</c:v>
                </c:pt>
                <c:pt idx="191">
                  <c:v>49.16</c:v>
                </c:pt>
                <c:pt idx="192">
                  <c:v>48.95</c:v>
                </c:pt>
                <c:pt idx="193">
                  <c:v>49.4</c:v>
                </c:pt>
                <c:pt idx="194">
                  <c:v>48</c:v>
                </c:pt>
                <c:pt idx="195">
                  <c:v>46.14</c:v>
                </c:pt>
                <c:pt idx="196">
                  <c:v>47.92</c:v>
                </c:pt>
                <c:pt idx="197">
                  <c:v>48.49</c:v>
                </c:pt>
                <c:pt idx="198">
                  <c:v>48.89</c:v>
                </c:pt>
                <c:pt idx="199">
                  <c:v>49.09</c:v>
                </c:pt>
                <c:pt idx="200">
                  <c:v>50.52</c:v>
                </c:pt>
                <c:pt idx="201">
                  <c:v>51.23</c:v>
                </c:pt>
                <c:pt idx="202">
                  <c:v>50.37</c:v>
                </c:pt>
                <c:pt idx="203">
                  <c:v>49.71</c:v>
                </c:pt>
                <c:pt idx="204">
                  <c:v>48.69</c:v>
                </c:pt>
                <c:pt idx="205">
                  <c:v>49.14</c:v>
                </c:pt>
                <c:pt idx="206">
                  <c:v>49.07</c:v>
                </c:pt>
                <c:pt idx="207">
                  <c:v>49.1</c:v>
                </c:pt>
                <c:pt idx="208">
                  <c:v>49.36</c:v>
                </c:pt>
                <c:pt idx="209">
                  <c:v>49</c:v>
                </c:pt>
                <c:pt idx="210">
                  <c:v>49.1</c:v>
                </c:pt>
                <c:pt idx="211">
                  <c:v>48.04</c:v>
                </c:pt>
                <c:pt idx="212">
                  <c:v>48.12</c:v>
                </c:pt>
                <c:pt idx="213">
                  <c:v>47.67</c:v>
                </c:pt>
                <c:pt idx="214">
                  <c:v>48.16</c:v>
                </c:pt>
                <c:pt idx="215">
                  <c:v>48.12</c:v>
                </c:pt>
                <c:pt idx="216">
                  <c:v>48.29</c:v>
                </c:pt>
                <c:pt idx="217">
                  <c:v>47.72</c:v>
                </c:pt>
                <c:pt idx="218">
                  <c:v>46.22</c:v>
                </c:pt>
                <c:pt idx="219">
                  <c:v>46.64</c:v>
                </c:pt>
                <c:pt idx="220">
                  <c:v>46.21</c:v>
                </c:pt>
                <c:pt idx="221">
                  <c:v>44.68</c:v>
                </c:pt>
                <c:pt idx="222">
                  <c:v>43.45</c:v>
                </c:pt>
                <c:pt idx="223">
                  <c:v>44.58</c:v>
                </c:pt>
                <c:pt idx="224">
                  <c:v>44.33</c:v>
                </c:pt>
                <c:pt idx="225">
                  <c:v>43.77</c:v>
                </c:pt>
                <c:pt idx="226">
                  <c:v>43.65</c:v>
                </c:pt>
                <c:pt idx="227">
                  <c:v>44.75</c:v>
                </c:pt>
                <c:pt idx="228">
                  <c:v>45.98</c:v>
                </c:pt>
                <c:pt idx="229">
                  <c:v>46.03</c:v>
                </c:pt>
                <c:pt idx="230">
                  <c:v>45.29</c:v>
                </c:pt>
                <c:pt idx="231">
                  <c:v>42.52</c:v>
                </c:pt>
                <c:pt idx="232">
                  <c:v>41.67</c:v>
                </c:pt>
                <c:pt idx="233">
                  <c:v>42.76</c:v>
                </c:pt>
                <c:pt idx="234">
                  <c:v>43.18</c:v>
                </c:pt>
                <c:pt idx="235">
                  <c:v>42.72</c:v>
                </c:pt>
                <c:pt idx="236">
                  <c:v>40.880000000000003</c:v>
                </c:pt>
                <c:pt idx="237">
                  <c:v>39.74</c:v>
                </c:pt>
                <c:pt idx="238">
                  <c:v>40.4</c:v>
                </c:pt>
                <c:pt idx="239">
                  <c:v>41.45</c:v>
                </c:pt>
                <c:pt idx="240">
                  <c:v>41.7</c:v>
                </c:pt>
                <c:pt idx="241">
                  <c:v>42.12</c:v>
                </c:pt>
                <c:pt idx="242">
                  <c:v>40.46</c:v>
                </c:pt>
                <c:pt idx="243">
                  <c:v>39.74</c:v>
                </c:pt>
                <c:pt idx="244">
                  <c:v>37.299999999999997</c:v>
                </c:pt>
                <c:pt idx="245">
                  <c:v>37.74</c:v>
                </c:pt>
                <c:pt idx="246">
                  <c:v>34.520000000000003</c:v>
                </c:pt>
                <c:pt idx="247">
                  <c:v>34.299999999999997</c:v>
                </c:pt>
                <c:pt idx="248">
                  <c:v>35.36</c:v>
                </c:pt>
                <c:pt idx="249">
                  <c:v>36.94</c:v>
                </c:pt>
                <c:pt idx="250">
                  <c:v>36.909999999999997</c:v>
                </c:pt>
                <c:pt idx="251">
                  <c:v>36.909999999999997</c:v>
                </c:pt>
                <c:pt idx="252">
                  <c:v>37.99</c:v>
                </c:pt>
                <c:pt idx="253">
                  <c:v>38.14</c:v>
                </c:pt>
                <c:pt idx="254">
                  <c:v>38.28</c:v>
                </c:pt>
                <c:pt idx="255">
                  <c:v>41.45</c:v>
                </c:pt>
                <c:pt idx="256">
                  <c:v>39.909999999999997</c:v>
                </c:pt>
                <c:pt idx="257">
                  <c:v>39.47</c:v>
                </c:pt>
                <c:pt idx="258">
                  <c:v>40.17</c:v>
                </c:pt>
                <c:pt idx="259">
                  <c:v>38.43</c:v>
                </c:pt>
                <c:pt idx="260">
                  <c:v>36.32</c:v>
                </c:pt>
                <c:pt idx="261">
                  <c:v>37.200000000000003</c:v>
                </c:pt>
                <c:pt idx="262">
                  <c:v>38.51</c:v>
                </c:pt>
                <c:pt idx="263">
                  <c:v>37.770000000000003</c:v>
                </c:pt>
                <c:pt idx="264">
                  <c:v>37.619999999999997</c:v>
                </c:pt>
                <c:pt idx="265">
                  <c:v>36.67</c:v>
                </c:pt>
                <c:pt idx="266">
                  <c:v>37.9</c:v>
                </c:pt>
                <c:pt idx="267">
                  <c:v>35.909999999999997</c:v>
                </c:pt>
                <c:pt idx="268">
                  <c:v>34.56</c:v>
                </c:pt>
                <c:pt idx="269">
                  <c:v>34.57</c:v>
                </c:pt>
                <c:pt idx="270">
                  <c:v>34.39</c:v>
                </c:pt>
                <c:pt idx="271">
                  <c:v>32.74</c:v>
                </c:pt>
                <c:pt idx="272">
                  <c:v>31.65</c:v>
                </c:pt>
                <c:pt idx="273">
                  <c:v>31.4</c:v>
                </c:pt>
                <c:pt idx="274">
                  <c:v>30.35</c:v>
                </c:pt>
                <c:pt idx="275">
                  <c:v>31.84</c:v>
                </c:pt>
                <c:pt idx="276">
                  <c:v>31.37</c:v>
                </c:pt>
                <c:pt idx="277">
                  <c:v>29.59</c:v>
                </c:pt>
                <c:pt idx="278">
                  <c:v>30.77</c:v>
                </c:pt>
                <c:pt idx="279">
                  <c:v>30.68</c:v>
                </c:pt>
                <c:pt idx="280">
                  <c:v>29.05</c:v>
                </c:pt>
                <c:pt idx="281">
                  <c:v>29.32</c:v>
                </c:pt>
                <c:pt idx="282">
                  <c:v>26.19</c:v>
                </c:pt>
                <c:pt idx="283">
                  <c:v>27.54</c:v>
                </c:pt>
                <c:pt idx="284">
                  <c:v>27.96</c:v>
                </c:pt>
                <c:pt idx="285">
                  <c:v>29.71</c:v>
                </c:pt>
                <c:pt idx="286">
                  <c:v>30.86</c:v>
                </c:pt>
                <c:pt idx="287">
                  <c:v>31.63</c:v>
                </c:pt>
                <c:pt idx="288">
                  <c:v>32.29</c:v>
                </c:pt>
                <c:pt idx="289">
                  <c:v>29.9</c:v>
                </c:pt>
                <c:pt idx="290">
                  <c:v>31.62</c:v>
                </c:pt>
                <c:pt idx="291">
                  <c:v>33.659999999999997</c:v>
                </c:pt>
                <c:pt idx="292">
                  <c:v>33.21</c:v>
                </c:pt>
                <c:pt idx="293">
                  <c:v>32.32</c:v>
                </c:pt>
                <c:pt idx="294">
                  <c:v>29.54</c:v>
                </c:pt>
                <c:pt idx="295">
                  <c:v>30.31</c:v>
                </c:pt>
                <c:pt idx="296">
                  <c:v>32.07</c:v>
                </c:pt>
                <c:pt idx="297">
                  <c:v>29.55</c:v>
                </c:pt>
                <c:pt idx="298">
                  <c:v>26.68</c:v>
                </c:pt>
                <c:pt idx="299">
                  <c:v>28.47</c:v>
                </c:pt>
                <c:pt idx="300">
                  <c:v>29.45</c:v>
                </c:pt>
                <c:pt idx="301">
                  <c:v>31.22</c:v>
                </c:pt>
                <c:pt idx="302">
                  <c:v>30.42</c:v>
                </c:pt>
                <c:pt idx="303">
                  <c:v>30.42</c:v>
                </c:pt>
                <c:pt idx="304">
                  <c:v>31.42</c:v>
                </c:pt>
                <c:pt idx="305">
                  <c:v>33.200000000000003</c:v>
                </c:pt>
                <c:pt idx="306">
                  <c:v>33.29</c:v>
                </c:pt>
                <c:pt idx="307">
                  <c:v>33.97</c:v>
                </c:pt>
                <c:pt idx="308">
                  <c:v>35.97</c:v>
                </c:pt>
                <c:pt idx="309">
                  <c:v>36.81</c:v>
                </c:pt>
                <c:pt idx="310">
                  <c:v>37.130000000000003</c:v>
                </c:pt>
                <c:pt idx="311">
                  <c:v>36.590000000000003</c:v>
                </c:pt>
                <c:pt idx="312">
                  <c:v>37.880000000000003</c:v>
                </c:pt>
                <c:pt idx="313">
                  <c:v>36.36</c:v>
                </c:pt>
                <c:pt idx="314">
                  <c:v>37.619999999999997</c:v>
                </c:pt>
                <c:pt idx="315">
                  <c:v>36.76</c:v>
                </c:pt>
                <c:pt idx="316">
                  <c:v>36.119999999999997</c:v>
                </c:pt>
                <c:pt idx="317">
                  <c:v>34.549999999999997</c:v>
                </c:pt>
                <c:pt idx="318">
                  <c:v>34.72</c:v>
                </c:pt>
                <c:pt idx="319">
                  <c:v>34.979999999999997</c:v>
                </c:pt>
                <c:pt idx="320">
                  <c:v>35.549999999999997</c:v>
                </c:pt>
                <c:pt idx="321">
                  <c:v>37.32</c:v>
                </c:pt>
                <c:pt idx="322">
                  <c:v>36.31</c:v>
                </c:pt>
                <c:pt idx="323">
                  <c:v>35.65</c:v>
                </c:pt>
                <c:pt idx="324">
                  <c:v>36.76</c:v>
                </c:pt>
                <c:pt idx="325">
                  <c:v>37.159999999999997</c:v>
                </c:pt>
                <c:pt idx="326">
                  <c:v>37.46</c:v>
                </c:pt>
                <c:pt idx="327">
                  <c:v>37.64</c:v>
                </c:pt>
                <c:pt idx="328">
                  <c:v>40</c:v>
                </c:pt>
                <c:pt idx="329">
                  <c:v>41.08</c:v>
                </c:pt>
                <c:pt idx="330">
                  <c:v>39.93</c:v>
                </c:pt>
                <c:pt idx="331">
                  <c:v>40.58</c:v>
                </c:pt>
                <c:pt idx="332">
                  <c:v>40.43</c:v>
                </c:pt>
                <c:pt idx="333">
                  <c:v>40.57</c:v>
                </c:pt>
                <c:pt idx="334">
                  <c:v>41.22</c:v>
                </c:pt>
                <c:pt idx="335">
                  <c:v>40.89</c:v>
                </c:pt>
                <c:pt idx="336">
                  <c:v>39.270000000000003</c:v>
                </c:pt>
                <c:pt idx="337">
                  <c:v>39.39</c:v>
                </c:pt>
                <c:pt idx="338">
                  <c:v>40.549999999999997</c:v>
                </c:pt>
                <c:pt idx="339">
                  <c:v>40.75</c:v>
                </c:pt>
                <c:pt idx="340">
                  <c:v>40.729999999999997</c:v>
                </c:pt>
                <c:pt idx="341">
                  <c:v>41.68</c:v>
                </c:pt>
                <c:pt idx="342">
                  <c:v>40.69</c:v>
                </c:pt>
                <c:pt idx="343">
                  <c:v>41.74</c:v>
                </c:pt>
                <c:pt idx="344">
                  <c:v>42.95</c:v>
                </c:pt>
                <c:pt idx="345">
                  <c:v>44.23</c:v>
                </c:pt>
                <c:pt idx="346">
                  <c:v>43.87</c:v>
                </c:pt>
                <c:pt idx="347">
                  <c:v>44.32</c:v>
                </c:pt>
                <c:pt idx="348">
                  <c:v>45.27</c:v>
                </c:pt>
                <c:pt idx="349">
                  <c:v>46.32</c:v>
                </c:pt>
                <c:pt idx="350">
                  <c:v>47.88</c:v>
                </c:pt>
                <c:pt idx="351">
                  <c:v>46.12</c:v>
                </c:pt>
                <c:pt idx="352">
                  <c:v>46.6</c:v>
                </c:pt>
                <c:pt idx="353">
                  <c:v>46.02</c:v>
                </c:pt>
                <c:pt idx="354">
                  <c:v>45.93</c:v>
                </c:pt>
                <c:pt idx="355">
                  <c:v>43.21</c:v>
                </c:pt>
                <c:pt idx="356">
                  <c:v>43.19</c:v>
                </c:pt>
                <c:pt idx="357">
                  <c:v>43.91</c:v>
                </c:pt>
                <c:pt idx="358">
                  <c:v>44.9</c:v>
                </c:pt>
                <c:pt idx="359">
                  <c:v>45.22</c:v>
                </c:pt>
                <c:pt idx="360">
                  <c:v>45.84</c:v>
                </c:pt>
                <c:pt idx="361">
                  <c:v>45.91</c:v>
                </c:pt>
                <c:pt idx="362">
                  <c:v>47.3</c:v>
                </c:pt>
                <c:pt idx="363">
                  <c:v>46.38</c:v>
                </c:pt>
                <c:pt idx="364">
                  <c:v>46.63</c:v>
                </c:pt>
                <c:pt idx="365">
                  <c:v>46.7</c:v>
                </c:pt>
                <c:pt idx="366">
                  <c:v>47.09</c:v>
                </c:pt>
                <c:pt idx="367">
                  <c:v>49.67</c:v>
                </c:pt>
                <c:pt idx="368">
                  <c:v>49.46</c:v>
                </c:pt>
                <c:pt idx="369">
                  <c:v>47.86</c:v>
                </c:pt>
                <c:pt idx="370">
                  <c:v>48.53</c:v>
                </c:pt>
                <c:pt idx="371">
                  <c:v>46.28</c:v>
                </c:pt>
                <c:pt idx="372">
                  <c:v>45.54</c:v>
                </c:pt>
                <c:pt idx="373">
                  <c:v>44.75</c:v>
                </c:pt>
                <c:pt idx="374">
                  <c:v>45.06</c:v>
                </c:pt>
                <c:pt idx="375">
                  <c:v>45.24</c:v>
                </c:pt>
                <c:pt idx="376">
                  <c:v>44.4</c:v>
                </c:pt>
                <c:pt idx="377">
                  <c:v>45.55</c:v>
                </c:pt>
                <c:pt idx="378">
                  <c:v>44.94</c:v>
                </c:pt>
                <c:pt idx="379">
                  <c:v>44.53</c:v>
                </c:pt>
                <c:pt idx="380">
                  <c:v>46.17</c:v>
                </c:pt>
                <c:pt idx="381">
                  <c:v>46.67</c:v>
                </c:pt>
                <c:pt idx="382">
                  <c:v>44.71</c:v>
                </c:pt>
                <c:pt idx="383">
                  <c:v>46.93</c:v>
                </c:pt>
                <c:pt idx="384">
                  <c:v>47.12</c:v>
                </c:pt>
                <c:pt idx="385">
                  <c:v>44.58</c:v>
                </c:pt>
                <c:pt idx="386">
                  <c:v>44.07</c:v>
                </c:pt>
                <c:pt idx="387">
                  <c:v>44.75</c:v>
                </c:pt>
                <c:pt idx="388">
                  <c:v>45.85</c:v>
                </c:pt>
                <c:pt idx="389">
                  <c:v>44.13</c:v>
                </c:pt>
                <c:pt idx="390">
                  <c:v>45.92</c:v>
                </c:pt>
                <c:pt idx="391">
                  <c:v>46.02</c:v>
                </c:pt>
                <c:pt idx="392">
                  <c:v>46.75</c:v>
                </c:pt>
                <c:pt idx="393">
                  <c:v>46.3</c:v>
                </c:pt>
                <c:pt idx="394">
                  <c:v>45.38</c:v>
                </c:pt>
                <c:pt idx="395">
                  <c:v>49.2</c:v>
                </c:pt>
                <c:pt idx="396">
                  <c:v>45.29</c:v>
                </c:pt>
                <c:pt idx="397">
                  <c:v>42.47</c:v>
                </c:pt>
                <c:pt idx="398">
                  <c:v>38.5</c:v>
                </c:pt>
                <c:pt idx="399">
                  <c:v>39.15</c:v>
                </c:pt>
                <c:pt idx="400">
                  <c:v>38.22</c:v>
                </c:pt>
                <c:pt idx="401">
                  <c:v>40.450000000000003</c:v>
                </c:pt>
                <c:pt idx="402">
                  <c:v>41</c:v>
                </c:pt>
                <c:pt idx="403">
                  <c:v>40.75</c:v>
                </c:pt>
                <c:pt idx="404">
                  <c:v>42.58</c:v>
                </c:pt>
                <c:pt idx="405">
                  <c:v>41.93</c:v>
                </c:pt>
                <c:pt idx="406">
                  <c:v>42.45</c:v>
                </c:pt>
                <c:pt idx="407">
                  <c:v>42.27</c:v>
                </c:pt>
                <c:pt idx="408">
                  <c:v>43.22</c:v>
                </c:pt>
                <c:pt idx="409">
                  <c:v>43.11</c:v>
                </c:pt>
                <c:pt idx="410">
                  <c:v>44.94</c:v>
                </c:pt>
                <c:pt idx="411">
                  <c:v>43.87</c:v>
                </c:pt>
                <c:pt idx="412">
                  <c:v>44.69</c:v>
                </c:pt>
                <c:pt idx="413">
                  <c:v>45.13</c:v>
                </c:pt>
                <c:pt idx="414">
                  <c:v>45.75</c:v>
                </c:pt>
                <c:pt idx="415">
                  <c:v>45.25</c:v>
                </c:pt>
                <c:pt idx="416">
                  <c:v>47.11</c:v>
                </c:pt>
                <c:pt idx="417">
                  <c:v>48.53</c:v>
                </c:pt>
                <c:pt idx="418">
                  <c:v>48.77</c:v>
                </c:pt>
                <c:pt idx="419">
                  <c:v>47.97</c:v>
                </c:pt>
                <c:pt idx="420">
                  <c:v>47.17</c:v>
                </c:pt>
                <c:pt idx="421">
                  <c:v>47.98</c:v>
                </c:pt>
                <c:pt idx="422">
                  <c:v>48.11</c:v>
                </c:pt>
                <c:pt idx="423">
                  <c:v>49.27</c:v>
                </c:pt>
                <c:pt idx="424">
                  <c:v>50.59</c:v>
                </c:pt>
                <c:pt idx="425">
                  <c:v>50.11</c:v>
                </c:pt>
                <c:pt idx="426">
                  <c:v>50.88</c:v>
                </c:pt>
                <c:pt idx="427">
                  <c:v>50.9</c:v>
                </c:pt>
                <c:pt idx="428">
                  <c:v>51.4</c:v>
                </c:pt>
                <c:pt idx="429">
                  <c:v>53.05</c:v>
                </c:pt>
                <c:pt idx="430">
                  <c:v>52.19</c:v>
                </c:pt>
                <c:pt idx="431">
                  <c:v>52.74</c:v>
                </c:pt>
                <c:pt idx="432">
                  <c:v>52.76</c:v>
                </c:pt>
                <c:pt idx="433">
                  <c:v>51.61</c:v>
                </c:pt>
                <c:pt idx="434">
                  <c:v>52.33</c:v>
                </c:pt>
                <c:pt idx="435">
                  <c:v>52.48</c:v>
                </c:pt>
                <c:pt idx="436">
                  <c:v>56.93</c:v>
                </c:pt>
                <c:pt idx="437">
                  <c:v>56.94</c:v>
                </c:pt>
                <c:pt idx="438">
                  <c:v>59.48</c:v>
                </c:pt>
                <c:pt idx="439">
                  <c:v>58.34</c:v>
                </c:pt>
                <c:pt idx="440">
                  <c:v>59.41</c:v>
                </c:pt>
                <c:pt idx="441">
                  <c:v>59.59</c:v>
                </c:pt>
                <c:pt idx="442">
                  <c:v>60.01</c:v>
                </c:pt>
                <c:pt idx="443">
                  <c:v>61.05</c:v>
                </c:pt>
                <c:pt idx="444">
                  <c:v>60.01</c:v>
                </c:pt>
                <c:pt idx="445">
                  <c:v>59.62</c:v>
                </c:pt>
                <c:pt idx="446">
                  <c:v>60.41</c:v>
                </c:pt>
                <c:pt idx="447">
                  <c:v>59.89</c:v>
                </c:pt>
                <c:pt idx="448">
                  <c:v>60.01</c:v>
                </c:pt>
                <c:pt idx="449">
                  <c:v>59.53</c:v>
                </c:pt>
                <c:pt idx="450">
                  <c:v>59.96</c:v>
                </c:pt>
                <c:pt idx="451">
                  <c:v>60.74</c:v>
                </c:pt>
                <c:pt idx="452">
                  <c:v>61.36</c:v>
                </c:pt>
                <c:pt idx="453">
                  <c:v>60.15</c:v>
                </c:pt>
                <c:pt idx="454">
                  <c:v>58.15</c:v>
                </c:pt>
                <c:pt idx="455">
                  <c:v>59.11</c:v>
                </c:pt>
                <c:pt idx="456">
                  <c:v>58</c:v>
                </c:pt>
                <c:pt idx="457">
                  <c:v>59.67</c:v>
                </c:pt>
                <c:pt idx="458">
                  <c:v>61.3</c:v>
                </c:pt>
                <c:pt idx="459">
                  <c:v>60.24</c:v>
                </c:pt>
                <c:pt idx="460">
                  <c:v>60.25</c:v>
                </c:pt>
                <c:pt idx="461">
                  <c:v>57.69</c:v>
                </c:pt>
                <c:pt idx="462">
                  <c:v>57.51</c:v>
                </c:pt>
                <c:pt idx="463">
                  <c:v>57.29</c:v>
                </c:pt>
                <c:pt idx="464">
                  <c:v>58.88</c:v>
                </c:pt>
                <c:pt idx="465">
                  <c:v>60.18</c:v>
                </c:pt>
                <c:pt idx="466">
                  <c:v>58.96</c:v>
                </c:pt>
                <c:pt idx="467">
                  <c:v>57.3</c:v>
                </c:pt>
                <c:pt idx="468">
                  <c:v>59.44</c:v>
                </c:pt>
                <c:pt idx="469">
                  <c:v>59.73</c:v>
                </c:pt>
                <c:pt idx="470">
                  <c:v>59.89</c:v>
                </c:pt>
                <c:pt idx="471">
                  <c:v>60.5</c:v>
                </c:pt>
                <c:pt idx="472">
                  <c:v>60.72</c:v>
                </c:pt>
                <c:pt idx="473">
                  <c:v>59.23</c:v>
                </c:pt>
                <c:pt idx="474">
                  <c:v>59.41</c:v>
                </c:pt>
                <c:pt idx="475">
                  <c:v>58.99</c:v>
                </c:pt>
                <c:pt idx="476">
                  <c:v>60.93</c:v>
                </c:pt>
                <c:pt idx="477">
                  <c:v>60.38</c:v>
                </c:pt>
                <c:pt idx="478">
                  <c:v>58.92</c:v>
                </c:pt>
                <c:pt idx="479">
                  <c:v>59.1</c:v>
                </c:pt>
                <c:pt idx="480">
                  <c:v>59.62</c:v>
                </c:pt>
                <c:pt idx="481">
                  <c:v>58.55</c:v>
                </c:pt>
                <c:pt idx="482">
                  <c:v>57.05</c:v>
                </c:pt>
                <c:pt idx="483">
                  <c:v>55.56</c:v>
                </c:pt>
                <c:pt idx="484">
                  <c:v>55.98</c:v>
                </c:pt>
                <c:pt idx="485">
                  <c:v>56.59</c:v>
                </c:pt>
                <c:pt idx="486">
                  <c:v>56.17</c:v>
                </c:pt>
                <c:pt idx="487">
                  <c:v>55.58</c:v>
                </c:pt>
                <c:pt idx="488">
                  <c:v>56.37</c:v>
                </c:pt>
                <c:pt idx="489">
                  <c:v>55.71</c:v>
                </c:pt>
                <c:pt idx="490">
                  <c:v>56.69</c:v>
                </c:pt>
                <c:pt idx="491">
                  <c:v>56.25</c:v>
                </c:pt>
                <c:pt idx="492">
                  <c:v>53.3</c:v>
                </c:pt>
                <c:pt idx="493">
                  <c:v>51.95</c:v>
                </c:pt>
                <c:pt idx="494">
                  <c:v>51.63</c:v>
                </c:pt>
                <c:pt idx="495">
                  <c:v>50.79</c:v>
                </c:pt>
                <c:pt idx="496">
                  <c:v>50.44</c:v>
                </c:pt>
                <c:pt idx="497">
                  <c:v>53.95</c:v>
                </c:pt>
                <c:pt idx="498">
                  <c:v>52.08</c:v>
                </c:pt>
                <c:pt idx="499">
                  <c:v>49.13</c:v>
                </c:pt>
                <c:pt idx="500">
                  <c:v>50.12</c:v>
                </c:pt>
                <c:pt idx="501">
                  <c:v>47.72</c:v>
                </c:pt>
                <c:pt idx="502">
                  <c:v>48.66</c:v>
                </c:pt>
                <c:pt idx="503">
                  <c:v>48.83</c:v>
                </c:pt>
                <c:pt idx="504">
                  <c:v>51.41</c:v>
                </c:pt>
                <c:pt idx="505">
                  <c:v>48.75</c:v>
                </c:pt>
                <c:pt idx="506">
                  <c:v>47.03</c:v>
                </c:pt>
                <c:pt idx="507">
                  <c:v>47.4</c:v>
                </c:pt>
                <c:pt idx="508">
                  <c:v>46</c:v>
                </c:pt>
                <c:pt idx="509">
                  <c:v>44.02</c:v>
                </c:pt>
                <c:pt idx="510">
                  <c:v>44.63</c:v>
                </c:pt>
                <c:pt idx="511">
                  <c:v>43.39</c:v>
                </c:pt>
                <c:pt idx="512">
                  <c:v>43.93</c:v>
                </c:pt>
                <c:pt idx="513">
                  <c:v>44.88</c:v>
                </c:pt>
                <c:pt idx="514">
                  <c:v>47.12</c:v>
                </c:pt>
                <c:pt idx="515">
                  <c:v>48.06</c:v>
                </c:pt>
                <c:pt idx="516">
                  <c:v>48.42</c:v>
                </c:pt>
                <c:pt idx="517">
                  <c:v>49.95</c:v>
                </c:pt>
                <c:pt idx="518">
                  <c:v>49.61</c:v>
                </c:pt>
                <c:pt idx="519">
                  <c:v>50.76</c:v>
                </c:pt>
                <c:pt idx="520">
                  <c:v>51.53</c:v>
                </c:pt>
                <c:pt idx="521">
                  <c:v>50.43</c:v>
                </c:pt>
                <c:pt idx="522">
                  <c:v>49.59</c:v>
                </c:pt>
                <c:pt idx="523">
                  <c:v>49.84</c:v>
                </c:pt>
                <c:pt idx="524">
                  <c:v>47.65</c:v>
                </c:pt>
                <c:pt idx="525">
                  <c:v>50.25</c:v>
                </c:pt>
                <c:pt idx="526">
                  <c:v>48.48</c:v>
                </c:pt>
                <c:pt idx="527">
                  <c:v>49.56</c:v>
                </c:pt>
                <c:pt idx="528">
                  <c:v>49.95</c:v>
                </c:pt>
                <c:pt idx="529">
                  <c:v>51.12</c:v>
                </c:pt>
                <c:pt idx="530">
                  <c:v>52.13</c:v>
                </c:pt>
                <c:pt idx="531">
                  <c:v>53.56</c:v>
                </c:pt>
                <c:pt idx="532">
                  <c:v>52.66</c:v>
                </c:pt>
                <c:pt idx="533">
                  <c:v>51.17</c:v>
                </c:pt>
                <c:pt idx="534">
                  <c:v>48.8</c:v>
                </c:pt>
                <c:pt idx="535">
                  <c:v>50.06</c:v>
                </c:pt>
                <c:pt idx="536">
                  <c:v>52.99</c:v>
                </c:pt>
                <c:pt idx="537">
                  <c:v>51.66</c:v>
                </c:pt>
                <c:pt idx="538">
                  <c:v>50.48</c:v>
                </c:pt>
                <c:pt idx="539">
                  <c:v>48.45</c:v>
                </c:pt>
                <c:pt idx="540">
                  <c:v>53.04</c:v>
                </c:pt>
                <c:pt idx="541">
                  <c:v>49.25</c:v>
                </c:pt>
                <c:pt idx="542">
                  <c:v>47.79</c:v>
                </c:pt>
                <c:pt idx="543">
                  <c:v>44.12</c:v>
                </c:pt>
                <c:pt idx="544">
                  <c:v>44.08</c:v>
                </c:pt>
                <c:pt idx="545">
                  <c:v>45.84</c:v>
                </c:pt>
                <c:pt idx="546">
                  <c:v>44.8</c:v>
                </c:pt>
                <c:pt idx="547">
                  <c:v>45.26</c:v>
                </c:pt>
                <c:pt idx="548">
                  <c:v>45.93</c:v>
                </c:pt>
                <c:pt idx="549">
                  <c:v>47.85</c:v>
                </c:pt>
                <c:pt idx="550">
                  <c:v>46.79</c:v>
                </c:pt>
                <c:pt idx="551">
                  <c:v>48.49</c:v>
                </c:pt>
                <c:pt idx="552">
                  <c:v>46.37</c:v>
                </c:pt>
                <c:pt idx="553">
                  <c:v>48.49</c:v>
                </c:pt>
                <c:pt idx="554">
                  <c:v>45.92</c:v>
                </c:pt>
                <c:pt idx="555">
                  <c:v>46.06</c:v>
                </c:pt>
                <c:pt idx="556">
                  <c:v>48.35</c:v>
                </c:pt>
                <c:pt idx="557">
                  <c:v>48.8</c:v>
                </c:pt>
                <c:pt idx="558">
                  <c:v>48.69</c:v>
                </c:pt>
                <c:pt idx="559">
                  <c:v>47.98</c:v>
                </c:pt>
                <c:pt idx="560">
                  <c:v>50.05</c:v>
                </c:pt>
                <c:pt idx="561">
                  <c:v>52.72</c:v>
                </c:pt>
                <c:pt idx="562">
                  <c:v>53.45</c:v>
                </c:pt>
                <c:pt idx="563">
                  <c:v>54.14</c:v>
                </c:pt>
                <c:pt idx="564">
                  <c:v>53.46</c:v>
                </c:pt>
                <c:pt idx="565">
                  <c:v>54.59</c:v>
                </c:pt>
                <c:pt idx="566">
                  <c:v>55.7</c:v>
                </c:pt>
                <c:pt idx="567">
                  <c:v>56.78</c:v>
                </c:pt>
                <c:pt idx="568">
                  <c:v>55.25</c:v>
                </c:pt>
                <c:pt idx="569">
                  <c:v>56.91</c:v>
                </c:pt>
                <c:pt idx="570">
                  <c:v>54.18</c:v>
                </c:pt>
                <c:pt idx="571">
                  <c:v>56.43</c:v>
                </c:pt>
                <c:pt idx="572">
                  <c:v>55.97</c:v>
                </c:pt>
                <c:pt idx="573">
                  <c:v>55.96</c:v>
                </c:pt>
                <c:pt idx="574">
                  <c:v>57.81</c:v>
                </c:pt>
                <c:pt idx="575">
                  <c:v>60.01</c:v>
                </c:pt>
                <c:pt idx="576">
                  <c:v>60.99</c:v>
                </c:pt>
                <c:pt idx="577">
                  <c:v>63.74</c:v>
                </c:pt>
                <c:pt idx="578">
                  <c:v>63.13</c:v>
                </c:pt>
                <c:pt idx="579">
                  <c:v>65.89</c:v>
                </c:pt>
                <c:pt idx="580">
                  <c:v>66.73</c:v>
                </c:pt>
                <c:pt idx="581">
                  <c:v>67.3</c:v>
                </c:pt>
                <c:pt idx="582">
                  <c:v>66.989999999999995</c:v>
                </c:pt>
                <c:pt idx="583">
                  <c:v>68.98</c:v>
                </c:pt>
                <c:pt idx="584">
                  <c:v>65.94</c:v>
                </c:pt>
                <c:pt idx="585">
                  <c:v>73.7</c:v>
                </c:pt>
                <c:pt idx="586">
                  <c:v>74.040000000000006</c:v>
                </c:pt>
                <c:pt idx="587">
                  <c:v>75.739999999999995</c:v>
                </c:pt>
                <c:pt idx="588">
                  <c:v>76.52</c:v>
                </c:pt>
                <c:pt idx="589">
                  <c:v>75.63</c:v>
                </c:pt>
                <c:pt idx="590">
                  <c:v>74.55</c:v>
                </c:pt>
                <c:pt idx="591">
                  <c:v>74.55</c:v>
                </c:pt>
                <c:pt idx="592">
                  <c:v>75.64</c:v>
                </c:pt>
                <c:pt idx="593">
                  <c:v>75.91</c:v>
                </c:pt>
                <c:pt idx="594">
                  <c:v>74.13</c:v>
                </c:pt>
                <c:pt idx="595">
                  <c:v>77.16</c:v>
                </c:pt>
                <c:pt idx="596">
                  <c:v>77.849999999999994</c:v>
                </c:pt>
                <c:pt idx="597">
                  <c:v>77.430000000000007</c:v>
                </c:pt>
                <c:pt idx="598">
                  <c:v>78.709999999999994</c:v>
                </c:pt>
                <c:pt idx="599">
                  <c:v>77.87</c:v>
                </c:pt>
                <c:pt idx="600">
                  <c:v>78.709999999999994</c:v>
                </c:pt>
                <c:pt idx="601">
                  <c:v>77.150000000000006</c:v>
                </c:pt>
                <c:pt idx="602">
                  <c:v>78.77</c:v>
                </c:pt>
                <c:pt idx="603">
                  <c:v>80.53</c:v>
                </c:pt>
                <c:pt idx="604">
                  <c:v>81.06</c:v>
                </c:pt>
                <c:pt idx="605">
                  <c:v>82.25</c:v>
                </c:pt>
                <c:pt idx="606">
                  <c:v>81.36</c:v>
                </c:pt>
                <c:pt idx="607">
                  <c:v>81.260000000000005</c:v>
                </c:pt>
                <c:pt idx="608">
                  <c:v>81.27</c:v>
                </c:pt>
                <c:pt idx="609">
                  <c:v>82.81</c:v>
                </c:pt>
                <c:pt idx="610">
                  <c:v>80.52</c:v>
                </c:pt>
                <c:pt idx="611">
                  <c:v>83.25</c:v>
                </c:pt>
                <c:pt idx="612">
                  <c:v>82.76</c:v>
                </c:pt>
                <c:pt idx="613">
                  <c:v>82.8</c:v>
                </c:pt>
                <c:pt idx="614">
                  <c:v>82.33</c:v>
                </c:pt>
                <c:pt idx="615">
                  <c:v>81.819999999999993</c:v>
                </c:pt>
                <c:pt idx="616">
                  <c:v>81.72</c:v>
                </c:pt>
                <c:pt idx="617">
                  <c:v>85.73</c:v>
                </c:pt>
                <c:pt idx="618">
                  <c:v>85.87</c:v>
                </c:pt>
                <c:pt idx="619">
                  <c:v>85.76</c:v>
                </c:pt>
                <c:pt idx="620">
                  <c:v>87.29</c:v>
                </c:pt>
                <c:pt idx="621">
                  <c:v>88.89</c:v>
                </c:pt>
                <c:pt idx="622">
                  <c:v>90.33</c:v>
                </c:pt>
                <c:pt idx="623">
                  <c:v>89.76</c:v>
                </c:pt>
                <c:pt idx="624">
                  <c:v>91.02</c:v>
                </c:pt>
                <c:pt idx="625">
                  <c:v>90.74</c:v>
                </c:pt>
                <c:pt idx="626">
                  <c:v>91.17</c:v>
                </c:pt>
                <c:pt idx="627">
                  <c:v>94.53</c:v>
                </c:pt>
                <c:pt idx="628">
                  <c:v>95.55</c:v>
                </c:pt>
                <c:pt idx="629">
                  <c:v>93.59</c:v>
                </c:pt>
                <c:pt idx="630">
                  <c:v>93.6</c:v>
                </c:pt>
                <c:pt idx="631">
                  <c:v>91.55</c:v>
                </c:pt>
                <c:pt idx="632">
                  <c:v>91.46</c:v>
                </c:pt>
                <c:pt idx="633">
                  <c:v>92.43</c:v>
                </c:pt>
                <c:pt idx="634">
                  <c:v>93.07</c:v>
                </c:pt>
                <c:pt idx="635">
                  <c:v>94.33</c:v>
                </c:pt>
                <c:pt idx="636">
                  <c:v>94.91</c:v>
                </c:pt>
                <c:pt idx="637">
                  <c:v>92.86</c:v>
                </c:pt>
                <c:pt idx="638">
                  <c:v>92.18</c:v>
                </c:pt>
                <c:pt idx="639">
                  <c:v>92.89</c:v>
                </c:pt>
                <c:pt idx="640">
                  <c:v>91.71</c:v>
                </c:pt>
                <c:pt idx="641">
                  <c:v>92.73</c:v>
                </c:pt>
                <c:pt idx="642">
                  <c:v>92.64</c:v>
                </c:pt>
                <c:pt idx="643">
                  <c:v>93.32</c:v>
                </c:pt>
                <c:pt idx="644">
                  <c:v>94.51</c:v>
                </c:pt>
                <c:pt idx="645">
                  <c:v>95.5</c:v>
                </c:pt>
                <c:pt idx="646">
                  <c:v>92.92</c:v>
                </c:pt>
                <c:pt idx="647">
                  <c:v>97.86</c:v>
                </c:pt>
                <c:pt idx="648">
                  <c:v>96.44</c:v>
                </c:pt>
                <c:pt idx="649">
                  <c:v>95.82</c:v>
                </c:pt>
                <c:pt idx="650">
                  <c:v>95.78</c:v>
                </c:pt>
                <c:pt idx="651">
                  <c:v>95.39</c:v>
                </c:pt>
                <c:pt idx="652">
                  <c:v>93.61</c:v>
                </c:pt>
                <c:pt idx="653">
                  <c:v>93.97</c:v>
                </c:pt>
                <c:pt idx="654">
                  <c:v>96.4</c:v>
                </c:pt>
                <c:pt idx="655">
                  <c:v>94.35</c:v>
                </c:pt>
                <c:pt idx="656">
                  <c:v>96.44</c:v>
                </c:pt>
                <c:pt idx="657">
                  <c:v>97.3</c:v>
                </c:pt>
                <c:pt idx="658">
                  <c:v>95.54</c:v>
                </c:pt>
                <c:pt idx="659">
                  <c:v>97.57</c:v>
                </c:pt>
                <c:pt idx="660">
                  <c:v>97.36</c:v>
                </c:pt>
                <c:pt idx="661">
                  <c:v>98.09</c:v>
                </c:pt>
                <c:pt idx="662">
                  <c:v>97.61</c:v>
                </c:pt>
                <c:pt idx="663">
                  <c:v>97.34</c:v>
                </c:pt>
                <c:pt idx="664">
                  <c:v>96.93</c:v>
                </c:pt>
                <c:pt idx="665">
                  <c:v>97.34</c:v>
                </c:pt>
                <c:pt idx="666">
                  <c:v>98.26</c:v>
                </c:pt>
                <c:pt idx="667">
                  <c:v>97.86</c:v>
                </c:pt>
                <c:pt idx="668">
                  <c:v>98.23</c:v>
                </c:pt>
                <c:pt idx="669">
                  <c:v>104.29</c:v>
                </c:pt>
                <c:pt idx="670">
                  <c:v>104.91</c:v>
                </c:pt>
                <c:pt idx="671">
                  <c:v>105.68</c:v>
                </c:pt>
                <c:pt idx="672">
                  <c:v>105.23</c:v>
                </c:pt>
                <c:pt idx="673">
                  <c:v>102.76</c:v>
                </c:pt>
                <c:pt idx="674">
                  <c:v>103.81</c:v>
                </c:pt>
                <c:pt idx="675">
                  <c:v>104.59</c:v>
                </c:pt>
                <c:pt idx="676">
                  <c:v>105.34</c:v>
                </c:pt>
                <c:pt idx="677">
                  <c:v>103.83</c:v>
                </c:pt>
                <c:pt idx="678">
                  <c:v>103.84</c:v>
                </c:pt>
                <c:pt idx="679">
                  <c:v>101.88</c:v>
                </c:pt>
                <c:pt idx="680">
                  <c:v>100.56</c:v>
                </c:pt>
                <c:pt idx="681">
                  <c:v>101.73</c:v>
                </c:pt>
                <c:pt idx="682">
                  <c:v>101.48</c:v>
                </c:pt>
                <c:pt idx="683">
                  <c:v>103.61</c:v>
                </c:pt>
                <c:pt idx="684">
                  <c:v>102.93</c:v>
                </c:pt>
                <c:pt idx="685">
                  <c:v>104.06</c:v>
                </c:pt>
                <c:pt idx="686">
                  <c:v>104.19</c:v>
                </c:pt>
                <c:pt idx="687">
                  <c:v>104.76</c:v>
                </c:pt>
                <c:pt idx="688">
                  <c:v>105.18</c:v>
                </c:pt>
                <c:pt idx="689">
                  <c:v>106.06</c:v>
                </c:pt>
                <c:pt idx="690">
                  <c:v>106.07</c:v>
                </c:pt>
                <c:pt idx="691">
                  <c:v>106.46</c:v>
                </c:pt>
                <c:pt idx="692">
                  <c:v>106.49</c:v>
                </c:pt>
                <c:pt idx="693">
                  <c:v>107.04</c:v>
                </c:pt>
                <c:pt idx="694">
                  <c:v>106.64</c:v>
                </c:pt>
                <c:pt idx="695">
                  <c:v>106.83</c:v>
                </c:pt>
                <c:pt idx="696">
                  <c:v>107.95</c:v>
                </c:pt>
                <c:pt idx="697">
                  <c:v>107.08</c:v>
                </c:pt>
                <c:pt idx="698">
                  <c:v>106.64</c:v>
                </c:pt>
                <c:pt idx="699">
                  <c:v>106.95</c:v>
                </c:pt>
                <c:pt idx="700">
                  <c:v>107.52</c:v>
                </c:pt>
                <c:pt idx="701">
                  <c:v>107.49</c:v>
                </c:pt>
                <c:pt idx="702">
                  <c:v>107.2</c:v>
                </c:pt>
                <c:pt idx="703">
                  <c:v>105.04</c:v>
                </c:pt>
                <c:pt idx="704">
                  <c:v>105.02</c:v>
                </c:pt>
                <c:pt idx="705">
                  <c:v>105.09</c:v>
                </c:pt>
                <c:pt idx="706">
                  <c:v>103.32</c:v>
                </c:pt>
                <c:pt idx="707">
                  <c:v>103.17</c:v>
                </c:pt>
                <c:pt idx="708">
                  <c:v>103.27</c:v>
                </c:pt>
                <c:pt idx="709">
                  <c:v>103.34</c:v>
                </c:pt>
                <c:pt idx="710">
                  <c:v>103.07</c:v>
                </c:pt>
                <c:pt idx="711">
                  <c:v>103.4</c:v>
                </c:pt>
                <c:pt idx="712">
                  <c:v>104.26</c:v>
                </c:pt>
                <c:pt idx="713">
                  <c:v>103.37</c:v>
                </c:pt>
                <c:pt idx="714">
                  <c:v>104.78</c:v>
                </c:pt>
                <c:pt idx="715">
                  <c:v>105.01</c:v>
                </c:pt>
                <c:pt idx="716">
                  <c:v>104.03</c:v>
                </c:pt>
                <c:pt idx="717">
                  <c:v>104.31</c:v>
                </c:pt>
                <c:pt idx="718">
                  <c:v>102.8</c:v>
                </c:pt>
                <c:pt idx="719">
                  <c:v>102.95</c:v>
                </c:pt>
                <c:pt idx="720">
                  <c:v>102.31</c:v>
                </c:pt>
                <c:pt idx="721">
                  <c:v>101.74</c:v>
                </c:pt>
                <c:pt idx="722">
                  <c:v>102.63</c:v>
                </c:pt>
                <c:pt idx="723">
                  <c:v>102.01</c:v>
                </c:pt>
                <c:pt idx="724">
                  <c:v>100.89</c:v>
                </c:pt>
                <c:pt idx="725">
                  <c:v>100.32</c:v>
                </c:pt>
                <c:pt idx="726">
                  <c:v>100.52</c:v>
                </c:pt>
                <c:pt idx="727">
                  <c:v>101.06</c:v>
                </c:pt>
                <c:pt idx="728">
                  <c:v>99.81</c:v>
                </c:pt>
                <c:pt idx="729">
                  <c:v>99.74</c:v>
                </c:pt>
                <c:pt idx="730">
                  <c:v>100.09</c:v>
                </c:pt>
                <c:pt idx="731">
                  <c:v>99.69</c:v>
                </c:pt>
                <c:pt idx="732">
                  <c:v>100.07</c:v>
                </c:pt>
                <c:pt idx="733">
                  <c:v>101.56</c:v>
                </c:pt>
                <c:pt idx="734">
                  <c:v>101.13</c:v>
                </c:pt>
                <c:pt idx="735">
                  <c:v>100.85</c:v>
                </c:pt>
                <c:pt idx="736">
                  <c:v>102.2</c:v>
                </c:pt>
                <c:pt idx="737">
                  <c:v>101.47</c:v>
                </c:pt>
                <c:pt idx="738">
                  <c:v>101.69</c:v>
                </c:pt>
                <c:pt idx="739">
                  <c:v>104.35</c:v>
                </c:pt>
                <c:pt idx="740">
                  <c:v>104.33</c:v>
                </c:pt>
                <c:pt idx="741">
                  <c:v>103.71</c:v>
                </c:pt>
                <c:pt idx="742">
                  <c:v>103.7</c:v>
                </c:pt>
                <c:pt idx="743">
                  <c:v>104.05</c:v>
                </c:pt>
                <c:pt idx="744">
                  <c:v>103.68</c:v>
                </c:pt>
                <c:pt idx="745">
                  <c:v>103.37</c:v>
                </c:pt>
                <c:pt idx="746">
                  <c:v>103.55</c:v>
                </c:pt>
                <c:pt idx="747">
                  <c:v>102.57</c:v>
                </c:pt>
                <c:pt idx="748">
                  <c:v>100.43</c:v>
                </c:pt>
                <c:pt idx="749">
                  <c:v>101.16</c:v>
                </c:pt>
                <c:pt idx="750">
                  <c:v>100.29</c:v>
                </c:pt>
                <c:pt idx="751">
                  <c:v>99.6</c:v>
                </c:pt>
                <c:pt idx="752">
                  <c:v>99.69</c:v>
                </c:pt>
                <c:pt idx="753">
                  <c:v>101.57</c:v>
                </c:pt>
                <c:pt idx="754">
                  <c:v>101.73</c:v>
                </c:pt>
                <c:pt idx="755">
                  <c:v>101.25</c:v>
                </c:pt>
                <c:pt idx="756">
                  <c:v>100.61</c:v>
                </c:pt>
                <c:pt idx="757">
                  <c:v>99.66</c:v>
                </c:pt>
                <c:pt idx="758">
                  <c:v>100.05</c:v>
                </c:pt>
                <c:pt idx="759">
                  <c:v>99.97</c:v>
                </c:pt>
                <c:pt idx="760">
                  <c:v>99.68</c:v>
                </c:pt>
                <c:pt idx="761">
                  <c:v>100.71</c:v>
                </c:pt>
                <c:pt idx="762">
                  <c:v>100.08</c:v>
                </c:pt>
                <c:pt idx="763">
                  <c:v>98.43</c:v>
                </c:pt>
                <c:pt idx="764">
                  <c:v>99.23</c:v>
                </c:pt>
                <c:pt idx="765">
                  <c:v>98.57</c:v>
                </c:pt>
                <c:pt idx="766">
                  <c:v>98.29</c:v>
                </c:pt>
                <c:pt idx="767">
                  <c:v>100.29</c:v>
                </c:pt>
                <c:pt idx="768">
                  <c:v>101.39</c:v>
                </c:pt>
                <c:pt idx="769">
                  <c:v>102.82</c:v>
                </c:pt>
                <c:pt idx="770">
                  <c:v>101.82</c:v>
                </c:pt>
                <c:pt idx="771">
                  <c:v>101.75</c:v>
                </c:pt>
                <c:pt idx="772">
                  <c:v>103.64</c:v>
                </c:pt>
                <c:pt idx="773">
                  <c:v>105.34</c:v>
                </c:pt>
                <c:pt idx="774">
                  <c:v>102.88</c:v>
                </c:pt>
                <c:pt idx="775">
                  <c:v>102.68</c:v>
                </c:pt>
                <c:pt idx="776">
                  <c:v>102.93</c:v>
                </c:pt>
                <c:pt idx="777">
                  <c:v>102.2</c:v>
                </c:pt>
                <c:pt idx="778">
                  <c:v>103.17</c:v>
                </c:pt>
                <c:pt idx="779">
                  <c:v>102.53</c:v>
                </c:pt>
                <c:pt idx="780">
                  <c:v>103.2</c:v>
                </c:pt>
                <c:pt idx="781">
                  <c:v>103.46</c:v>
                </c:pt>
                <c:pt idx="782">
                  <c:v>102.54</c:v>
                </c:pt>
                <c:pt idx="783">
                  <c:v>100.31</c:v>
                </c:pt>
                <c:pt idx="784">
                  <c:v>100.27</c:v>
                </c:pt>
                <c:pt idx="785">
                  <c:v>100.38</c:v>
                </c:pt>
                <c:pt idx="786">
                  <c:v>99.96</c:v>
                </c:pt>
                <c:pt idx="787">
                  <c:v>100.12</c:v>
                </c:pt>
                <c:pt idx="788">
                  <c:v>99.98</c:v>
                </c:pt>
                <c:pt idx="789">
                  <c:v>97.84</c:v>
                </c:pt>
                <c:pt idx="790">
                  <c:v>97.4</c:v>
                </c:pt>
                <c:pt idx="791">
                  <c:v>97.24</c:v>
                </c:pt>
                <c:pt idx="792">
                  <c:v>96.44</c:v>
                </c:pt>
                <c:pt idx="793">
                  <c:v>97.55</c:v>
                </c:pt>
                <c:pt idx="794">
                  <c:v>98.25</c:v>
                </c:pt>
                <c:pt idx="795">
                  <c:v>97.34</c:v>
                </c:pt>
                <c:pt idx="796">
                  <c:v>97.49</c:v>
                </c:pt>
                <c:pt idx="797">
                  <c:v>95.82</c:v>
                </c:pt>
                <c:pt idx="798">
                  <c:v>96.66</c:v>
                </c:pt>
                <c:pt idx="799">
                  <c:v>97.23</c:v>
                </c:pt>
                <c:pt idx="800">
                  <c:v>96.35</c:v>
                </c:pt>
                <c:pt idx="801">
                  <c:v>94.51</c:v>
                </c:pt>
                <c:pt idx="802">
                  <c:v>93.96</c:v>
                </c:pt>
                <c:pt idx="803">
                  <c:v>93.54</c:v>
                </c:pt>
                <c:pt idx="804">
                  <c:v>93.78</c:v>
                </c:pt>
                <c:pt idx="805">
                  <c:v>92.15</c:v>
                </c:pt>
                <c:pt idx="806">
                  <c:v>91.45</c:v>
                </c:pt>
                <c:pt idx="807">
                  <c:v>92.39</c:v>
                </c:pt>
                <c:pt idx="808">
                  <c:v>91.36</c:v>
                </c:pt>
                <c:pt idx="809">
                  <c:v>91.9</c:v>
                </c:pt>
                <c:pt idx="810">
                  <c:v>93.31</c:v>
                </c:pt>
                <c:pt idx="811">
                  <c:v>93.12</c:v>
                </c:pt>
                <c:pt idx="812">
                  <c:v>93.66</c:v>
                </c:pt>
                <c:pt idx="813">
                  <c:v>95.14</c:v>
                </c:pt>
              </c:numCache>
            </c:numRef>
          </c:val>
          <c:smooth val="0"/>
        </c:ser>
        <c:dLbls>
          <c:showLegendKey val="0"/>
          <c:showVal val="0"/>
          <c:showCatName val="0"/>
          <c:showSerName val="0"/>
          <c:showPercent val="0"/>
          <c:showBubbleSize val="0"/>
        </c:dLbls>
        <c:smooth val="0"/>
        <c:axId val="156258504"/>
        <c:axId val="156258112"/>
      </c:lineChart>
      <c:dateAx>
        <c:axId val="156258504"/>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156258112"/>
        <c:crosses val="autoZero"/>
        <c:auto val="1"/>
        <c:lblOffset val="100"/>
        <c:baseTimeUnit val="days"/>
      </c:dateAx>
      <c:valAx>
        <c:axId val="156258112"/>
        <c:scaling>
          <c:orientation val="minMax"/>
          <c:max val="110"/>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156258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i="1"/>
              <a:t>Price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lineChart>
        <c:grouping val="standard"/>
        <c:varyColors val="0"/>
        <c:ser>
          <c:idx val="0"/>
          <c:order val="0"/>
          <c:tx>
            <c:strRef>
              <c:f>'Oil Price and factors'!$B$4</c:f>
              <c:strCache>
                <c:ptCount val="1"/>
                <c:pt idx="0">
                  <c:v>Price</c:v>
                </c:pt>
              </c:strCache>
            </c:strRef>
          </c:tx>
          <c:spPr>
            <a:ln w="28575" cap="rnd">
              <a:solidFill>
                <a:schemeClr val="accent1"/>
              </a:solidFill>
              <a:round/>
            </a:ln>
            <a:effectLst/>
          </c:spPr>
          <c:marker>
            <c:symbol val="none"/>
          </c:marker>
          <c:cat>
            <c:numRef>
              <c:f>'Oil Price and factors'!$A$5:$A$818</c:f>
              <c:numCache>
                <c:formatCode>yyyy\-mm\-dd</c:formatCode>
                <c:ptCount val="814"/>
                <c:pt idx="0">
                  <c:v>42821</c:v>
                </c:pt>
                <c:pt idx="1">
                  <c:v>42818</c:v>
                </c:pt>
                <c:pt idx="2">
                  <c:v>42817</c:v>
                </c:pt>
                <c:pt idx="3">
                  <c:v>42816</c:v>
                </c:pt>
                <c:pt idx="4">
                  <c:v>42815</c:v>
                </c:pt>
                <c:pt idx="5">
                  <c:v>42814</c:v>
                </c:pt>
                <c:pt idx="6">
                  <c:v>42811</c:v>
                </c:pt>
                <c:pt idx="7">
                  <c:v>42810</c:v>
                </c:pt>
                <c:pt idx="8">
                  <c:v>42809</c:v>
                </c:pt>
                <c:pt idx="9">
                  <c:v>42808</c:v>
                </c:pt>
                <c:pt idx="10">
                  <c:v>42807</c:v>
                </c:pt>
                <c:pt idx="11">
                  <c:v>42804</c:v>
                </c:pt>
                <c:pt idx="12">
                  <c:v>42803</c:v>
                </c:pt>
                <c:pt idx="13">
                  <c:v>42802</c:v>
                </c:pt>
                <c:pt idx="14">
                  <c:v>42801</c:v>
                </c:pt>
                <c:pt idx="15">
                  <c:v>42800</c:v>
                </c:pt>
                <c:pt idx="16">
                  <c:v>42797</c:v>
                </c:pt>
                <c:pt idx="17">
                  <c:v>42796</c:v>
                </c:pt>
                <c:pt idx="18">
                  <c:v>42795</c:v>
                </c:pt>
                <c:pt idx="19">
                  <c:v>42794</c:v>
                </c:pt>
                <c:pt idx="20">
                  <c:v>42793</c:v>
                </c:pt>
                <c:pt idx="21">
                  <c:v>42790</c:v>
                </c:pt>
                <c:pt idx="22">
                  <c:v>42789</c:v>
                </c:pt>
                <c:pt idx="23">
                  <c:v>42788</c:v>
                </c:pt>
                <c:pt idx="24">
                  <c:v>42787</c:v>
                </c:pt>
                <c:pt idx="25">
                  <c:v>42783</c:v>
                </c:pt>
                <c:pt idx="26">
                  <c:v>42782</c:v>
                </c:pt>
                <c:pt idx="27">
                  <c:v>42781</c:v>
                </c:pt>
                <c:pt idx="28">
                  <c:v>42780</c:v>
                </c:pt>
                <c:pt idx="29">
                  <c:v>42779</c:v>
                </c:pt>
                <c:pt idx="30">
                  <c:v>42776</c:v>
                </c:pt>
                <c:pt idx="31">
                  <c:v>42775</c:v>
                </c:pt>
                <c:pt idx="32">
                  <c:v>42774</c:v>
                </c:pt>
                <c:pt idx="33">
                  <c:v>42773</c:v>
                </c:pt>
                <c:pt idx="34">
                  <c:v>42772</c:v>
                </c:pt>
                <c:pt idx="35">
                  <c:v>42769</c:v>
                </c:pt>
                <c:pt idx="36">
                  <c:v>42768</c:v>
                </c:pt>
                <c:pt idx="37">
                  <c:v>42767</c:v>
                </c:pt>
                <c:pt idx="38">
                  <c:v>42766</c:v>
                </c:pt>
                <c:pt idx="39">
                  <c:v>42765</c:v>
                </c:pt>
                <c:pt idx="40">
                  <c:v>42762</c:v>
                </c:pt>
                <c:pt idx="41">
                  <c:v>42761</c:v>
                </c:pt>
                <c:pt idx="42">
                  <c:v>42760</c:v>
                </c:pt>
                <c:pt idx="43">
                  <c:v>42759</c:v>
                </c:pt>
                <c:pt idx="44">
                  <c:v>42758</c:v>
                </c:pt>
                <c:pt idx="45">
                  <c:v>42755</c:v>
                </c:pt>
                <c:pt idx="46">
                  <c:v>42754</c:v>
                </c:pt>
                <c:pt idx="47">
                  <c:v>42753</c:v>
                </c:pt>
                <c:pt idx="48">
                  <c:v>42752</c:v>
                </c:pt>
                <c:pt idx="49">
                  <c:v>42748</c:v>
                </c:pt>
                <c:pt idx="50">
                  <c:v>42747</c:v>
                </c:pt>
                <c:pt idx="51">
                  <c:v>42746</c:v>
                </c:pt>
                <c:pt idx="52">
                  <c:v>42745</c:v>
                </c:pt>
                <c:pt idx="53">
                  <c:v>42744</c:v>
                </c:pt>
                <c:pt idx="54">
                  <c:v>42741</c:v>
                </c:pt>
                <c:pt idx="55">
                  <c:v>42740</c:v>
                </c:pt>
                <c:pt idx="56">
                  <c:v>42739</c:v>
                </c:pt>
                <c:pt idx="57">
                  <c:v>42738</c:v>
                </c:pt>
                <c:pt idx="58">
                  <c:v>42734</c:v>
                </c:pt>
                <c:pt idx="59">
                  <c:v>42733</c:v>
                </c:pt>
                <c:pt idx="60">
                  <c:v>42732</c:v>
                </c:pt>
                <c:pt idx="61">
                  <c:v>42731</c:v>
                </c:pt>
                <c:pt idx="62">
                  <c:v>42727</c:v>
                </c:pt>
                <c:pt idx="63">
                  <c:v>42726</c:v>
                </c:pt>
                <c:pt idx="64">
                  <c:v>42725</c:v>
                </c:pt>
                <c:pt idx="65">
                  <c:v>42724</c:v>
                </c:pt>
                <c:pt idx="66">
                  <c:v>42723</c:v>
                </c:pt>
                <c:pt idx="67">
                  <c:v>42720</c:v>
                </c:pt>
                <c:pt idx="68">
                  <c:v>42719</c:v>
                </c:pt>
                <c:pt idx="69">
                  <c:v>42718</c:v>
                </c:pt>
                <c:pt idx="70">
                  <c:v>42717</c:v>
                </c:pt>
                <c:pt idx="71">
                  <c:v>42716</c:v>
                </c:pt>
                <c:pt idx="72">
                  <c:v>42713</c:v>
                </c:pt>
                <c:pt idx="73">
                  <c:v>42712</c:v>
                </c:pt>
                <c:pt idx="74">
                  <c:v>42711</c:v>
                </c:pt>
                <c:pt idx="75">
                  <c:v>42710</c:v>
                </c:pt>
                <c:pt idx="76">
                  <c:v>42709</c:v>
                </c:pt>
                <c:pt idx="77">
                  <c:v>42706</c:v>
                </c:pt>
                <c:pt idx="78">
                  <c:v>42705</c:v>
                </c:pt>
                <c:pt idx="79">
                  <c:v>42704</c:v>
                </c:pt>
                <c:pt idx="80">
                  <c:v>42703</c:v>
                </c:pt>
                <c:pt idx="81">
                  <c:v>42702</c:v>
                </c:pt>
                <c:pt idx="82">
                  <c:v>42699</c:v>
                </c:pt>
                <c:pt idx="83">
                  <c:v>42697</c:v>
                </c:pt>
                <c:pt idx="84">
                  <c:v>42696</c:v>
                </c:pt>
                <c:pt idx="85">
                  <c:v>42695</c:v>
                </c:pt>
                <c:pt idx="86">
                  <c:v>42692</c:v>
                </c:pt>
                <c:pt idx="87">
                  <c:v>42691</c:v>
                </c:pt>
                <c:pt idx="88">
                  <c:v>42690</c:v>
                </c:pt>
                <c:pt idx="89">
                  <c:v>42689</c:v>
                </c:pt>
                <c:pt idx="90">
                  <c:v>42688</c:v>
                </c:pt>
                <c:pt idx="91">
                  <c:v>42685</c:v>
                </c:pt>
                <c:pt idx="92">
                  <c:v>42684</c:v>
                </c:pt>
                <c:pt idx="93">
                  <c:v>42683</c:v>
                </c:pt>
                <c:pt idx="94">
                  <c:v>42682</c:v>
                </c:pt>
                <c:pt idx="95">
                  <c:v>42681</c:v>
                </c:pt>
                <c:pt idx="96">
                  <c:v>42678</c:v>
                </c:pt>
                <c:pt idx="97">
                  <c:v>42677</c:v>
                </c:pt>
                <c:pt idx="98">
                  <c:v>42676</c:v>
                </c:pt>
                <c:pt idx="99">
                  <c:v>42675</c:v>
                </c:pt>
                <c:pt idx="100">
                  <c:v>42674</c:v>
                </c:pt>
                <c:pt idx="101">
                  <c:v>42671</c:v>
                </c:pt>
                <c:pt idx="102">
                  <c:v>42670</c:v>
                </c:pt>
                <c:pt idx="103">
                  <c:v>42669</c:v>
                </c:pt>
                <c:pt idx="104">
                  <c:v>42668</c:v>
                </c:pt>
                <c:pt idx="105">
                  <c:v>42667</c:v>
                </c:pt>
                <c:pt idx="106">
                  <c:v>42664</c:v>
                </c:pt>
                <c:pt idx="107">
                  <c:v>42663</c:v>
                </c:pt>
                <c:pt idx="108">
                  <c:v>42662</c:v>
                </c:pt>
                <c:pt idx="109">
                  <c:v>42661</c:v>
                </c:pt>
                <c:pt idx="110">
                  <c:v>42660</c:v>
                </c:pt>
                <c:pt idx="111">
                  <c:v>42657</c:v>
                </c:pt>
                <c:pt idx="112">
                  <c:v>42656</c:v>
                </c:pt>
                <c:pt idx="113">
                  <c:v>42655</c:v>
                </c:pt>
                <c:pt idx="114">
                  <c:v>42654</c:v>
                </c:pt>
                <c:pt idx="115">
                  <c:v>42653</c:v>
                </c:pt>
                <c:pt idx="116">
                  <c:v>42650</c:v>
                </c:pt>
                <c:pt idx="117">
                  <c:v>42649</c:v>
                </c:pt>
                <c:pt idx="118">
                  <c:v>42648</c:v>
                </c:pt>
                <c:pt idx="119">
                  <c:v>42647</c:v>
                </c:pt>
                <c:pt idx="120">
                  <c:v>42646</c:v>
                </c:pt>
                <c:pt idx="121">
                  <c:v>42643</c:v>
                </c:pt>
                <c:pt idx="122">
                  <c:v>42642</c:v>
                </c:pt>
                <c:pt idx="123">
                  <c:v>42641</c:v>
                </c:pt>
                <c:pt idx="124">
                  <c:v>42640</c:v>
                </c:pt>
                <c:pt idx="125">
                  <c:v>42639</c:v>
                </c:pt>
                <c:pt idx="126">
                  <c:v>42636</c:v>
                </c:pt>
                <c:pt idx="127">
                  <c:v>42635</c:v>
                </c:pt>
                <c:pt idx="128">
                  <c:v>42634</c:v>
                </c:pt>
                <c:pt idx="129">
                  <c:v>42633</c:v>
                </c:pt>
                <c:pt idx="130">
                  <c:v>42632</c:v>
                </c:pt>
                <c:pt idx="131">
                  <c:v>42629</c:v>
                </c:pt>
                <c:pt idx="132">
                  <c:v>42628</c:v>
                </c:pt>
                <c:pt idx="133">
                  <c:v>42627</c:v>
                </c:pt>
                <c:pt idx="134">
                  <c:v>42626</c:v>
                </c:pt>
                <c:pt idx="135">
                  <c:v>42625</c:v>
                </c:pt>
                <c:pt idx="136">
                  <c:v>42622</c:v>
                </c:pt>
                <c:pt idx="137">
                  <c:v>42621</c:v>
                </c:pt>
                <c:pt idx="138">
                  <c:v>42620</c:v>
                </c:pt>
                <c:pt idx="139">
                  <c:v>42619</c:v>
                </c:pt>
                <c:pt idx="140">
                  <c:v>42615</c:v>
                </c:pt>
                <c:pt idx="141">
                  <c:v>42614</c:v>
                </c:pt>
                <c:pt idx="142">
                  <c:v>42613</c:v>
                </c:pt>
                <c:pt idx="143">
                  <c:v>42612</c:v>
                </c:pt>
                <c:pt idx="144">
                  <c:v>42611</c:v>
                </c:pt>
                <c:pt idx="145">
                  <c:v>42608</c:v>
                </c:pt>
                <c:pt idx="146">
                  <c:v>42607</c:v>
                </c:pt>
                <c:pt idx="147">
                  <c:v>42606</c:v>
                </c:pt>
                <c:pt idx="148">
                  <c:v>42605</c:v>
                </c:pt>
                <c:pt idx="149">
                  <c:v>42604</c:v>
                </c:pt>
                <c:pt idx="150">
                  <c:v>42601</c:v>
                </c:pt>
                <c:pt idx="151">
                  <c:v>42600</c:v>
                </c:pt>
                <c:pt idx="152">
                  <c:v>42599</c:v>
                </c:pt>
                <c:pt idx="153">
                  <c:v>42598</c:v>
                </c:pt>
                <c:pt idx="154">
                  <c:v>42597</c:v>
                </c:pt>
                <c:pt idx="155">
                  <c:v>42594</c:v>
                </c:pt>
                <c:pt idx="156">
                  <c:v>42593</c:v>
                </c:pt>
                <c:pt idx="157">
                  <c:v>42592</c:v>
                </c:pt>
                <c:pt idx="158">
                  <c:v>42591</c:v>
                </c:pt>
                <c:pt idx="159">
                  <c:v>42590</c:v>
                </c:pt>
                <c:pt idx="160">
                  <c:v>42587</c:v>
                </c:pt>
                <c:pt idx="161">
                  <c:v>42586</c:v>
                </c:pt>
                <c:pt idx="162">
                  <c:v>42585</c:v>
                </c:pt>
                <c:pt idx="163">
                  <c:v>42584</c:v>
                </c:pt>
                <c:pt idx="164">
                  <c:v>42583</c:v>
                </c:pt>
                <c:pt idx="165">
                  <c:v>42580</c:v>
                </c:pt>
                <c:pt idx="166">
                  <c:v>42579</c:v>
                </c:pt>
                <c:pt idx="167">
                  <c:v>42578</c:v>
                </c:pt>
                <c:pt idx="168">
                  <c:v>42577</c:v>
                </c:pt>
                <c:pt idx="169">
                  <c:v>42576</c:v>
                </c:pt>
                <c:pt idx="170">
                  <c:v>42573</c:v>
                </c:pt>
                <c:pt idx="171">
                  <c:v>42572</c:v>
                </c:pt>
                <c:pt idx="172">
                  <c:v>42571</c:v>
                </c:pt>
                <c:pt idx="173">
                  <c:v>42570</c:v>
                </c:pt>
                <c:pt idx="174">
                  <c:v>42569</c:v>
                </c:pt>
                <c:pt idx="175">
                  <c:v>42566</c:v>
                </c:pt>
                <c:pt idx="176">
                  <c:v>42565</c:v>
                </c:pt>
                <c:pt idx="177">
                  <c:v>42564</c:v>
                </c:pt>
                <c:pt idx="178">
                  <c:v>42563</c:v>
                </c:pt>
                <c:pt idx="179">
                  <c:v>42562</c:v>
                </c:pt>
                <c:pt idx="180">
                  <c:v>42559</c:v>
                </c:pt>
                <c:pt idx="181">
                  <c:v>42558</c:v>
                </c:pt>
                <c:pt idx="182">
                  <c:v>42557</c:v>
                </c:pt>
                <c:pt idx="183">
                  <c:v>42556</c:v>
                </c:pt>
                <c:pt idx="184">
                  <c:v>42552</c:v>
                </c:pt>
                <c:pt idx="185">
                  <c:v>42551</c:v>
                </c:pt>
                <c:pt idx="186">
                  <c:v>42550</c:v>
                </c:pt>
                <c:pt idx="187">
                  <c:v>42549</c:v>
                </c:pt>
                <c:pt idx="188">
                  <c:v>42548</c:v>
                </c:pt>
                <c:pt idx="189">
                  <c:v>42545</c:v>
                </c:pt>
                <c:pt idx="190">
                  <c:v>42544</c:v>
                </c:pt>
                <c:pt idx="191">
                  <c:v>42543</c:v>
                </c:pt>
                <c:pt idx="192">
                  <c:v>42542</c:v>
                </c:pt>
                <c:pt idx="193">
                  <c:v>42541</c:v>
                </c:pt>
                <c:pt idx="194">
                  <c:v>42538</c:v>
                </c:pt>
                <c:pt idx="195">
                  <c:v>42537</c:v>
                </c:pt>
                <c:pt idx="196">
                  <c:v>42536</c:v>
                </c:pt>
                <c:pt idx="197">
                  <c:v>42535</c:v>
                </c:pt>
                <c:pt idx="198">
                  <c:v>42534</c:v>
                </c:pt>
                <c:pt idx="199">
                  <c:v>42531</c:v>
                </c:pt>
                <c:pt idx="200">
                  <c:v>42530</c:v>
                </c:pt>
                <c:pt idx="201">
                  <c:v>42529</c:v>
                </c:pt>
                <c:pt idx="202">
                  <c:v>42528</c:v>
                </c:pt>
                <c:pt idx="203">
                  <c:v>42527</c:v>
                </c:pt>
                <c:pt idx="204">
                  <c:v>42524</c:v>
                </c:pt>
                <c:pt idx="205">
                  <c:v>42523</c:v>
                </c:pt>
                <c:pt idx="206">
                  <c:v>42522</c:v>
                </c:pt>
                <c:pt idx="207">
                  <c:v>42521</c:v>
                </c:pt>
                <c:pt idx="208">
                  <c:v>42517</c:v>
                </c:pt>
                <c:pt idx="209">
                  <c:v>42516</c:v>
                </c:pt>
                <c:pt idx="210">
                  <c:v>42515</c:v>
                </c:pt>
                <c:pt idx="211">
                  <c:v>42514</c:v>
                </c:pt>
                <c:pt idx="212">
                  <c:v>42513</c:v>
                </c:pt>
                <c:pt idx="213">
                  <c:v>42510</c:v>
                </c:pt>
                <c:pt idx="214">
                  <c:v>42509</c:v>
                </c:pt>
                <c:pt idx="215">
                  <c:v>42508</c:v>
                </c:pt>
                <c:pt idx="216">
                  <c:v>42507</c:v>
                </c:pt>
                <c:pt idx="217">
                  <c:v>42506</c:v>
                </c:pt>
                <c:pt idx="218">
                  <c:v>42503</c:v>
                </c:pt>
                <c:pt idx="219">
                  <c:v>42502</c:v>
                </c:pt>
                <c:pt idx="220">
                  <c:v>42501</c:v>
                </c:pt>
                <c:pt idx="221">
                  <c:v>42500</c:v>
                </c:pt>
                <c:pt idx="222">
                  <c:v>42499</c:v>
                </c:pt>
                <c:pt idx="223">
                  <c:v>42496</c:v>
                </c:pt>
                <c:pt idx="224">
                  <c:v>42495</c:v>
                </c:pt>
                <c:pt idx="225">
                  <c:v>42494</c:v>
                </c:pt>
                <c:pt idx="226">
                  <c:v>42493</c:v>
                </c:pt>
                <c:pt idx="227">
                  <c:v>42492</c:v>
                </c:pt>
                <c:pt idx="228">
                  <c:v>42489</c:v>
                </c:pt>
                <c:pt idx="229">
                  <c:v>42488</c:v>
                </c:pt>
                <c:pt idx="230">
                  <c:v>42487</c:v>
                </c:pt>
                <c:pt idx="231">
                  <c:v>42486</c:v>
                </c:pt>
                <c:pt idx="232">
                  <c:v>42485</c:v>
                </c:pt>
                <c:pt idx="233">
                  <c:v>42482</c:v>
                </c:pt>
                <c:pt idx="234">
                  <c:v>42481</c:v>
                </c:pt>
                <c:pt idx="235">
                  <c:v>42480</c:v>
                </c:pt>
                <c:pt idx="236">
                  <c:v>42479</c:v>
                </c:pt>
                <c:pt idx="237">
                  <c:v>42478</c:v>
                </c:pt>
                <c:pt idx="238">
                  <c:v>42475</c:v>
                </c:pt>
                <c:pt idx="239">
                  <c:v>42474</c:v>
                </c:pt>
                <c:pt idx="240">
                  <c:v>42473</c:v>
                </c:pt>
                <c:pt idx="241">
                  <c:v>42472</c:v>
                </c:pt>
                <c:pt idx="242">
                  <c:v>42471</c:v>
                </c:pt>
                <c:pt idx="243">
                  <c:v>42468</c:v>
                </c:pt>
                <c:pt idx="244">
                  <c:v>42467</c:v>
                </c:pt>
                <c:pt idx="245">
                  <c:v>42466</c:v>
                </c:pt>
                <c:pt idx="246">
                  <c:v>42465</c:v>
                </c:pt>
                <c:pt idx="247">
                  <c:v>42464</c:v>
                </c:pt>
                <c:pt idx="248">
                  <c:v>42461</c:v>
                </c:pt>
                <c:pt idx="249">
                  <c:v>42460</c:v>
                </c:pt>
                <c:pt idx="250">
                  <c:v>42459</c:v>
                </c:pt>
                <c:pt idx="251">
                  <c:v>42458</c:v>
                </c:pt>
                <c:pt idx="252">
                  <c:v>42457</c:v>
                </c:pt>
                <c:pt idx="253">
                  <c:v>42453</c:v>
                </c:pt>
                <c:pt idx="254">
                  <c:v>42452</c:v>
                </c:pt>
                <c:pt idx="255">
                  <c:v>42451</c:v>
                </c:pt>
                <c:pt idx="256">
                  <c:v>42450</c:v>
                </c:pt>
                <c:pt idx="257">
                  <c:v>42447</c:v>
                </c:pt>
                <c:pt idx="258">
                  <c:v>42446</c:v>
                </c:pt>
                <c:pt idx="259">
                  <c:v>42445</c:v>
                </c:pt>
                <c:pt idx="260">
                  <c:v>42444</c:v>
                </c:pt>
                <c:pt idx="261">
                  <c:v>42443</c:v>
                </c:pt>
                <c:pt idx="262">
                  <c:v>42440</c:v>
                </c:pt>
                <c:pt idx="263">
                  <c:v>42439</c:v>
                </c:pt>
                <c:pt idx="264">
                  <c:v>42438</c:v>
                </c:pt>
                <c:pt idx="265">
                  <c:v>42437</c:v>
                </c:pt>
                <c:pt idx="266">
                  <c:v>42436</c:v>
                </c:pt>
                <c:pt idx="267">
                  <c:v>42433</c:v>
                </c:pt>
                <c:pt idx="268">
                  <c:v>42432</c:v>
                </c:pt>
                <c:pt idx="269">
                  <c:v>42431</c:v>
                </c:pt>
                <c:pt idx="270">
                  <c:v>42430</c:v>
                </c:pt>
                <c:pt idx="271">
                  <c:v>42429</c:v>
                </c:pt>
                <c:pt idx="272">
                  <c:v>42426</c:v>
                </c:pt>
                <c:pt idx="273">
                  <c:v>42425</c:v>
                </c:pt>
                <c:pt idx="274">
                  <c:v>42424</c:v>
                </c:pt>
                <c:pt idx="275">
                  <c:v>42423</c:v>
                </c:pt>
                <c:pt idx="276">
                  <c:v>42422</c:v>
                </c:pt>
                <c:pt idx="277">
                  <c:v>42419</c:v>
                </c:pt>
                <c:pt idx="278">
                  <c:v>42418</c:v>
                </c:pt>
                <c:pt idx="279">
                  <c:v>42417</c:v>
                </c:pt>
                <c:pt idx="280">
                  <c:v>42416</c:v>
                </c:pt>
                <c:pt idx="281">
                  <c:v>42412</c:v>
                </c:pt>
                <c:pt idx="282">
                  <c:v>42411</c:v>
                </c:pt>
                <c:pt idx="283">
                  <c:v>42410</c:v>
                </c:pt>
                <c:pt idx="284">
                  <c:v>42409</c:v>
                </c:pt>
                <c:pt idx="285">
                  <c:v>42408</c:v>
                </c:pt>
                <c:pt idx="286">
                  <c:v>42405</c:v>
                </c:pt>
                <c:pt idx="287">
                  <c:v>42404</c:v>
                </c:pt>
                <c:pt idx="288">
                  <c:v>42403</c:v>
                </c:pt>
                <c:pt idx="289">
                  <c:v>42402</c:v>
                </c:pt>
                <c:pt idx="290">
                  <c:v>42401</c:v>
                </c:pt>
                <c:pt idx="291">
                  <c:v>42398</c:v>
                </c:pt>
                <c:pt idx="292">
                  <c:v>42397</c:v>
                </c:pt>
                <c:pt idx="293">
                  <c:v>42396</c:v>
                </c:pt>
                <c:pt idx="294">
                  <c:v>42395</c:v>
                </c:pt>
                <c:pt idx="295">
                  <c:v>42394</c:v>
                </c:pt>
                <c:pt idx="296">
                  <c:v>42391</c:v>
                </c:pt>
                <c:pt idx="297">
                  <c:v>42390</c:v>
                </c:pt>
                <c:pt idx="298">
                  <c:v>42389</c:v>
                </c:pt>
                <c:pt idx="299">
                  <c:v>42388</c:v>
                </c:pt>
                <c:pt idx="300">
                  <c:v>42384</c:v>
                </c:pt>
                <c:pt idx="301">
                  <c:v>42383</c:v>
                </c:pt>
                <c:pt idx="302">
                  <c:v>42382</c:v>
                </c:pt>
                <c:pt idx="303">
                  <c:v>42381</c:v>
                </c:pt>
                <c:pt idx="304">
                  <c:v>42380</c:v>
                </c:pt>
                <c:pt idx="305">
                  <c:v>42377</c:v>
                </c:pt>
                <c:pt idx="306">
                  <c:v>42376</c:v>
                </c:pt>
                <c:pt idx="307">
                  <c:v>42375</c:v>
                </c:pt>
                <c:pt idx="308">
                  <c:v>42374</c:v>
                </c:pt>
                <c:pt idx="309">
                  <c:v>42373</c:v>
                </c:pt>
                <c:pt idx="310">
                  <c:v>42369</c:v>
                </c:pt>
                <c:pt idx="311">
                  <c:v>42368</c:v>
                </c:pt>
                <c:pt idx="312">
                  <c:v>42367</c:v>
                </c:pt>
                <c:pt idx="313">
                  <c:v>42366</c:v>
                </c:pt>
                <c:pt idx="314">
                  <c:v>42362</c:v>
                </c:pt>
                <c:pt idx="315">
                  <c:v>42361</c:v>
                </c:pt>
                <c:pt idx="316">
                  <c:v>42360</c:v>
                </c:pt>
                <c:pt idx="317">
                  <c:v>42359</c:v>
                </c:pt>
                <c:pt idx="318">
                  <c:v>42356</c:v>
                </c:pt>
                <c:pt idx="319">
                  <c:v>42355</c:v>
                </c:pt>
                <c:pt idx="320">
                  <c:v>42354</c:v>
                </c:pt>
                <c:pt idx="321">
                  <c:v>42353</c:v>
                </c:pt>
                <c:pt idx="322">
                  <c:v>42352</c:v>
                </c:pt>
                <c:pt idx="323">
                  <c:v>42349</c:v>
                </c:pt>
                <c:pt idx="324">
                  <c:v>42348</c:v>
                </c:pt>
                <c:pt idx="325">
                  <c:v>42347</c:v>
                </c:pt>
                <c:pt idx="326">
                  <c:v>42346</c:v>
                </c:pt>
                <c:pt idx="327">
                  <c:v>42345</c:v>
                </c:pt>
                <c:pt idx="328">
                  <c:v>42342</c:v>
                </c:pt>
                <c:pt idx="329">
                  <c:v>42341</c:v>
                </c:pt>
                <c:pt idx="330">
                  <c:v>42340</c:v>
                </c:pt>
                <c:pt idx="331">
                  <c:v>42339</c:v>
                </c:pt>
                <c:pt idx="332">
                  <c:v>42338</c:v>
                </c:pt>
                <c:pt idx="333">
                  <c:v>42335</c:v>
                </c:pt>
                <c:pt idx="334">
                  <c:v>42333</c:v>
                </c:pt>
                <c:pt idx="335">
                  <c:v>42332</c:v>
                </c:pt>
                <c:pt idx="336">
                  <c:v>42331</c:v>
                </c:pt>
                <c:pt idx="337">
                  <c:v>42328</c:v>
                </c:pt>
                <c:pt idx="338">
                  <c:v>42327</c:v>
                </c:pt>
                <c:pt idx="339">
                  <c:v>42326</c:v>
                </c:pt>
                <c:pt idx="340">
                  <c:v>42325</c:v>
                </c:pt>
                <c:pt idx="341">
                  <c:v>42324</c:v>
                </c:pt>
                <c:pt idx="342">
                  <c:v>42321</c:v>
                </c:pt>
                <c:pt idx="343">
                  <c:v>42320</c:v>
                </c:pt>
                <c:pt idx="344">
                  <c:v>42319</c:v>
                </c:pt>
                <c:pt idx="345">
                  <c:v>42318</c:v>
                </c:pt>
                <c:pt idx="346">
                  <c:v>42317</c:v>
                </c:pt>
                <c:pt idx="347">
                  <c:v>42314</c:v>
                </c:pt>
                <c:pt idx="348">
                  <c:v>42313</c:v>
                </c:pt>
                <c:pt idx="349">
                  <c:v>42312</c:v>
                </c:pt>
                <c:pt idx="350">
                  <c:v>42311</c:v>
                </c:pt>
                <c:pt idx="351">
                  <c:v>42310</c:v>
                </c:pt>
                <c:pt idx="352">
                  <c:v>42307</c:v>
                </c:pt>
                <c:pt idx="353">
                  <c:v>42306</c:v>
                </c:pt>
                <c:pt idx="354">
                  <c:v>42305</c:v>
                </c:pt>
                <c:pt idx="355">
                  <c:v>42304</c:v>
                </c:pt>
                <c:pt idx="356">
                  <c:v>42303</c:v>
                </c:pt>
                <c:pt idx="357">
                  <c:v>42300</c:v>
                </c:pt>
                <c:pt idx="358">
                  <c:v>42299</c:v>
                </c:pt>
                <c:pt idx="359">
                  <c:v>42298</c:v>
                </c:pt>
                <c:pt idx="360">
                  <c:v>42297</c:v>
                </c:pt>
                <c:pt idx="361">
                  <c:v>42296</c:v>
                </c:pt>
                <c:pt idx="362">
                  <c:v>42293</c:v>
                </c:pt>
                <c:pt idx="363">
                  <c:v>42292</c:v>
                </c:pt>
                <c:pt idx="364">
                  <c:v>42291</c:v>
                </c:pt>
                <c:pt idx="365">
                  <c:v>42290</c:v>
                </c:pt>
                <c:pt idx="366">
                  <c:v>42289</c:v>
                </c:pt>
                <c:pt idx="367">
                  <c:v>42286</c:v>
                </c:pt>
                <c:pt idx="368">
                  <c:v>42285</c:v>
                </c:pt>
                <c:pt idx="369">
                  <c:v>42284</c:v>
                </c:pt>
                <c:pt idx="370">
                  <c:v>42283</c:v>
                </c:pt>
                <c:pt idx="371">
                  <c:v>42282</c:v>
                </c:pt>
                <c:pt idx="372">
                  <c:v>42279</c:v>
                </c:pt>
                <c:pt idx="373">
                  <c:v>42278</c:v>
                </c:pt>
                <c:pt idx="374">
                  <c:v>42277</c:v>
                </c:pt>
                <c:pt idx="375">
                  <c:v>42276</c:v>
                </c:pt>
                <c:pt idx="376">
                  <c:v>42275</c:v>
                </c:pt>
                <c:pt idx="377">
                  <c:v>42272</c:v>
                </c:pt>
                <c:pt idx="378">
                  <c:v>42271</c:v>
                </c:pt>
                <c:pt idx="379">
                  <c:v>42270</c:v>
                </c:pt>
                <c:pt idx="380">
                  <c:v>42269</c:v>
                </c:pt>
                <c:pt idx="381">
                  <c:v>42268</c:v>
                </c:pt>
                <c:pt idx="382">
                  <c:v>42265</c:v>
                </c:pt>
                <c:pt idx="383">
                  <c:v>42264</c:v>
                </c:pt>
                <c:pt idx="384">
                  <c:v>42263</c:v>
                </c:pt>
                <c:pt idx="385">
                  <c:v>42262</c:v>
                </c:pt>
                <c:pt idx="386">
                  <c:v>42261</c:v>
                </c:pt>
                <c:pt idx="387">
                  <c:v>42258</c:v>
                </c:pt>
                <c:pt idx="388">
                  <c:v>42257</c:v>
                </c:pt>
                <c:pt idx="389">
                  <c:v>42256</c:v>
                </c:pt>
                <c:pt idx="390">
                  <c:v>42255</c:v>
                </c:pt>
                <c:pt idx="391">
                  <c:v>42251</c:v>
                </c:pt>
                <c:pt idx="392">
                  <c:v>42250</c:v>
                </c:pt>
                <c:pt idx="393">
                  <c:v>42249</c:v>
                </c:pt>
                <c:pt idx="394">
                  <c:v>42248</c:v>
                </c:pt>
                <c:pt idx="395">
                  <c:v>42247</c:v>
                </c:pt>
                <c:pt idx="396">
                  <c:v>42244</c:v>
                </c:pt>
                <c:pt idx="397">
                  <c:v>42243</c:v>
                </c:pt>
                <c:pt idx="398">
                  <c:v>42242</c:v>
                </c:pt>
                <c:pt idx="399">
                  <c:v>42241</c:v>
                </c:pt>
                <c:pt idx="400">
                  <c:v>42240</c:v>
                </c:pt>
                <c:pt idx="401">
                  <c:v>42237</c:v>
                </c:pt>
                <c:pt idx="402">
                  <c:v>42236</c:v>
                </c:pt>
                <c:pt idx="403">
                  <c:v>42235</c:v>
                </c:pt>
                <c:pt idx="404">
                  <c:v>42234</c:v>
                </c:pt>
                <c:pt idx="405">
                  <c:v>42233</c:v>
                </c:pt>
                <c:pt idx="406">
                  <c:v>42230</c:v>
                </c:pt>
                <c:pt idx="407">
                  <c:v>42229</c:v>
                </c:pt>
                <c:pt idx="408">
                  <c:v>42228</c:v>
                </c:pt>
                <c:pt idx="409">
                  <c:v>42227</c:v>
                </c:pt>
                <c:pt idx="410">
                  <c:v>42226</c:v>
                </c:pt>
                <c:pt idx="411">
                  <c:v>42223</c:v>
                </c:pt>
                <c:pt idx="412">
                  <c:v>42222</c:v>
                </c:pt>
                <c:pt idx="413">
                  <c:v>42221</c:v>
                </c:pt>
                <c:pt idx="414">
                  <c:v>42220</c:v>
                </c:pt>
                <c:pt idx="415">
                  <c:v>42219</c:v>
                </c:pt>
                <c:pt idx="416">
                  <c:v>42216</c:v>
                </c:pt>
                <c:pt idx="417">
                  <c:v>42215</c:v>
                </c:pt>
                <c:pt idx="418">
                  <c:v>42214</c:v>
                </c:pt>
                <c:pt idx="419">
                  <c:v>42213</c:v>
                </c:pt>
                <c:pt idx="420">
                  <c:v>42212</c:v>
                </c:pt>
                <c:pt idx="421">
                  <c:v>42209</c:v>
                </c:pt>
                <c:pt idx="422">
                  <c:v>42208</c:v>
                </c:pt>
                <c:pt idx="423">
                  <c:v>42207</c:v>
                </c:pt>
                <c:pt idx="424">
                  <c:v>42206</c:v>
                </c:pt>
                <c:pt idx="425">
                  <c:v>42205</c:v>
                </c:pt>
                <c:pt idx="426">
                  <c:v>42202</c:v>
                </c:pt>
                <c:pt idx="427">
                  <c:v>42201</c:v>
                </c:pt>
                <c:pt idx="428">
                  <c:v>42200</c:v>
                </c:pt>
                <c:pt idx="429">
                  <c:v>42199</c:v>
                </c:pt>
                <c:pt idx="430">
                  <c:v>42198</c:v>
                </c:pt>
                <c:pt idx="431">
                  <c:v>42195</c:v>
                </c:pt>
                <c:pt idx="432">
                  <c:v>42194</c:v>
                </c:pt>
                <c:pt idx="433">
                  <c:v>42193</c:v>
                </c:pt>
                <c:pt idx="434">
                  <c:v>42192</c:v>
                </c:pt>
                <c:pt idx="435">
                  <c:v>42191</c:v>
                </c:pt>
                <c:pt idx="436">
                  <c:v>42187</c:v>
                </c:pt>
                <c:pt idx="437">
                  <c:v>42186</c:v>
                </c:pt>
                <c:pt idx="438">
                  <c:v>42185</c:v>
                </c:pt>
                <c:pt idx="439">
                  <c:v>42184</c:v>
                </c:pt>
                <c:pt idx="440">
                  <c:v>42181</c:v>
                </c:pt>
                <c:pt idx="441">
                  <c:v>42180</c:v>
                </c:pt>
                <c:pt idx="442">
                  <c:v>42179</c:v>
                </c:pt>
                <c:pt idx="443">
                  <c:v>42178</c:v>
                </c:pt>
                <c:pt idx="444">
                  <c:v>42177</c:v>
                </c:pt>
                <c:pt idx="445">
                  <c:v>42174</c:v>
                </c:pt>
                <c:pt idx="446">
                  <c:v>42173</c:v>
                </c:pt>
                <c:pt idx="447">
                  <c:v>42172</c:v>
                </c:pt>
                <c:pt idx="448">
                  <c:v>42171</c:v>
                </c:pt>
                <c:pt idx="449">
                  <c:v>42170</c:v>
                </c:pt>
                <c:pt idx="450">
                  <c:v>42167</c:v>
                </c:pt>
                <c:pt idx="451">
                  <c:v>42166</c:v>
                </c:pt>
                <c:pt idx="452">
                  <c:v>42165</c:v>
                </c:pt>
                <c:pt idx="453">
                  <c:v>42164</c:v>
                </c:pt>
                <c:pt idx="454">
                  <c:v>42163</c:v>
                </c:pt>
                <c:pt idx="455">
                  <c:v>42160</c:v>
                </c:pt>
                <c:pt idx="456">
                  <c:v>42159</c:v>
                </c:pt>
                <c:pt idx="457">
                  <c:v>42158</c:v>
                </c:pt>
                <c:pt idx="458">
                  <c:v>42157</c:v>
                </c:pt>
                <c:pt idx="459">
                  <c:v>42156</c:v>
                </c:pt>
                <c:pt idx="460">
                  <c:v>42153</c:v>
                </c:pt>
                <c:pt idx="461">
                  <c:v>42152</c:v>
                </c:pt>
                <c:pt idx="462">
                  <c:v>42151</c:v>
                </c:pt>
                <c:pt idx="463">
                  <c:v>42150</c:v>
                </c:pt>
                <c:pt idx="464">
                  <c:v>42146</c:v>
                </c:pt>
                <c:pt idx="465">
                  <c:v>42145</c:v>
                </c:pt>
                <c:pt idx="466">
                  <c:v>42144</c:v>
                </c:pt>
                <c:pt idx="467">
                  <c:v>42143</c:v>
                </c:pt>
                <c:pt idx="468">
                  <c:v>42142</c:v>
                </c:pt>
                <c:pt idx="469">
                  <c:v>42139</c:v>
                </c:pt>
                <c:pt idx="470">
                  <c:v>42138</c:v>
                </c:pt>
                <c:pt idx="471">
                  <c:v>42137</c:v>
                </c:pt>
                <c:pt idx="472">
                  <c:v>42136</c:v>
                </c:pt>
                <c:pt idx="473">
                  <c:v>42135</c:v>
                </c:pt>
                <c:pt idx="474">
                  <c:v>42132</c:v>
                </c:pt>
                <c:pt idx="475">
                  <c:v>42131</c:v>
                </c:pt>
                <c:pt idx="476">
                  <c:v>42130</c:v>
                </c:pt>
                <c:pt idx="477">
                  <c:v>42129</c:v>
                </c:pt>
                <c:pt idx="478">
                  <c:v>42128</c:v>
                </c:pt>
                <c:pt idx="479">
                  <c:v>42125</c:v>
                </c:pt>
                <c:pt idx="480">
                  <c:v>42124</c:v>
                </c:pt>
                <c:pt idx="481">
                  <c:v>42123</c:v>
                </c:pt>
                <c:pt idx="482">
                  <c:v>42122</c:v>
                </c:pt>
                <c:pt idx="483">
                  <c:v>42121</c:v>
                </c:pt>
                <c:pt idx="484">
                  <c:v>42118</c:v>
                </c:pt>
                <c:pt idx="485">
                  <c:v>42117</c:v>
                </c:pt>
                <c:pt idx="486">
                  <c:v>42116</c:v>
                </c:pt>
                <c:pt idx="487">
                  <c:v>42115</c:v>
                </c:pt>
                <c:pt idx="488">
                  <c:v>42114</c:v>
                </c:pt>
                <c:pt idx="489">
                  <c:v>42111</c:v>
                </c:pt>
                <c:pt idx="490">
                  <c:v>42110</c:v>
                </c:pt>
                <c:pt idx="491">
                  <c:v>42109</c:v>
                </c:pt>
                <c:pt idx="492">
                  <c:v>42108</c:v>
                </c:pt>
                <c:pt idx="493">
                  <c:v>42107</c:v>
                </c:pt>
                <c:pt idx="494">
                  <c:v>42104</c:v>
                </c:pt>
                <c:pt idx="495">
                  <c:v>42103</c:v>
                </c:pt>
                <c:pt idx="496">
                  <c:v>42102</c:v>
                </c:pt>
                <c:pt idx="497">
                  <c:v>42101</c:v>
                </c:pt>
                <c:pt idx="498">
                  <c:v>42100</c:v>
                </c:pt>
                <c:pt idx="499">
                  <c:v>42096</c:v>
                </c:pt>
                <c:pt idx="500">
                  <c:v>42095</c:v>
                </c:pt>
                <c:pt idx="501">
                  <c:v>42094</c:v>
                </c:pt>
                <c:pt idx="502">
                  <c:v>42093</c:v>
                </c:pt>
                <c:pt idx="503">
                  <c:v>42090</c:v>
                </c:pt>
                <c:pt idx="504">
                  <c:v>42089</c:v>
                </c:pt>
                <c:pt idx="505">
                  <c:v>42088</c:v>
                </c:pt>
                <c:pt idx="506">
                  <c:v>42087</c:v>
                </c:pt>
                <c:pt idx="507">
                  <c:v>42086</c:v>
                </c:pt>
                <c:pt idx="508">
                  <c:v>42083</c:v>
                </c:pt>
                <c:pt idx="509">
                  <c:v>42082</c:v>
                </c:pt>
                <c:pt idx="510">
                  <c:v>42081</c:v>
                </c:pt>
                <c:pt idx="511">
                  <c:v>42080</c:v>
                </c:pt>
                <c:pt idx="512">
                  <c:v>42079</c:v>
                </c:pt>
                <c:pt idx="513">
                  <c:v>42076</c:v>
                </c:pt>
                <c:pt idx="514">
                  <c:v>42075</c:v>
                </c:pt>
                <c:pt idx="515">
                  <c:v>42074</c:v>
                </c:pt>
                <c:pt idx="516">
                  <c:v>42073</c:v>
                </c:pt>
                <c:pt idx="517">
                  <c:v>42072</c:v>
                </c:pt>
                <c:pt idx="518">
                  <c:v>42069</c:v>
                </c:pt>
                <c:pt idx="519">
                  <c:v>42068</c:v>
                </c:pt>
                <c:pt idx="520">
                  <c:v>42067</c:v>
                </c:pt>
                <c:pt idx="521">
                  <c:v>42066</c:v>
                </c:pt>
                <c:pt idx="522">
                  <c:v>42065</c:v>
                </c:pt>
                <c:pt idx="523">
                  <c:v>42062</c:v>
                </c:pt>
                <c:pt idx="524">
                  <c:v>42061</c:v>
                </c:pt>
                <c:pt idx="525">
                  <c:v>42060</c:v>
                </c:pt>
                <c:pt idx="526">
                  <c:v>42059</c:v>
                </c:pt>
                <c:pt idx="527">
                  <c:v>42058</c:v>
                </c:pt>
                <c:pt idx="528">
                  <c:v>42055</c:v>
                </c:pt>
                <c:pt idx="529">
                  <c:v>42054</c:v>
                </c:pt>
                <c:pt idx="530">
                  <c:v>42053</c:v>
                </c:pt>
                <c:pt idx="531">
                  <c:v>42052</c:v>
                </c:pt>
                <c:pt idx="532">
                  <c:v>42048</c:v>
                </c:pt>
                <c:pt idx="533">
                  <c:v>42047</c:v>
                </c:pt>
                <c:pt idx="534">
                  <c:v>42046</c:v>
                </c:pt>
                <c:pt idx="535">
                  <c:v>42045</c:v>
                </c:pt>
                <c:pt idx="536">
                  <c:v>42044</c:v>
                </c:pt>
                <c:pt idx="537">
                  <c:v>42041</c:v>
                </c:pt>
                <c:pt idx="538">
                  <c:v>42040</c:v>
                </c:pt>
                <c:pt idx="539">
                  <c:v>42039</c:v>
                </c:pt>
                <c:pt idx="540">
                  <c:v>42038</c:v>
                </c:pt>
                <c:pt idx="541">
                  <c:v>42037</c:v>
                </c:pt>
                <c:pt idx="542">
                  <c:v>42034</c:v>
                </c:pt>
                <c:pt idx="543">
                  <c:v>42033</c:v>
                </c:pt>
                <c:pt idx="544">
                  <c:v>42032</c:v>
                </c:pt>
                <c:pt idx="545">
                  <c:v>42031</c:v>
                </c:pt>
                <c:pt idx="546">
                  <c:v>42030</c:v>
                </c:pt>
                <c:pt idx="547">
                  <c:v>42027</c:v>
                </c:pt>
                <c:pt idx="548">
                  <c:v>42026</c:v>
                </c:pt>
                <c:pt idx="549">
                  <c:v>42025</c:v>
                </c:pt>
                <c:pt idx="550">
                  <c:v>42024</c:v>
                </c:pt>
                <c:pt idx="551">
                  <c:v>42020</c:v>
                </c:pt>
                <c:pt idx="552">
                  <c:v>42019</c:v>
                </c:pt>
                <c:pt idx="553">
                  <c:v>42018</c:v>
                </c:pt>
                <c:pt idx="554">
                  <c:v>42017</c:v>
                </c:pt>
                <c:pt idx="555">
                  <c:v>42016</c:v>
                </c:pt>
                <c:pt idx="556">
                  <c:v>42013</c:v>
                </c:pt>
                <c:pt idx="557">
                  <c:v>42012</c:v>
                </c:pt>
                <c:pt idx="558">
                  <c:v>42011</c:v>
                </c:pt>
                <c:pt idx="559">
                  <c:v>42010</c:v>
                </c:pt>
                <c:pt idx="560">
                  <c:v>42009</c:v>
                </c:pt>
                <c:pt idx="561">
                  <c:v>42006</c:v>
                </c:pt>
                <c:pt idx="562">
                  <c:v>42004</c:v>
                </c:pt>
                <c:pt idx="563">
                  <c:v>42003</c:v>
                </c:pt>
                <c:pt idx="564">
                  <c:v>42002</c:v>
                </c:pt>
                <c:pt idx="565">
                  <c:v>41999</c:v>
                </c:pt>
                <c:pt idx="566">
                  <c:v>41997</c:v>
                </c:pt>
                <c:pt idx="567">
                  <c:v>41996</c:v>
                </c:pt>
                <c:pt idx="568">
                  <c:v>41995</c:v>
                </c:pt>
                <c:pt idx="569">
                  <c:v>41992</c:v>
                </c:pt>
                <c:pt idx="570">
                  <c:v>41991</c:v>
                </c:pt>
                <c:pt idx="571">
                  <c:v>41990</c:v>
                </c:pt>
                <c:pt idx="572">
                  <c:v>41989</c:v>
                </c:pt>
                <c:pt idx="573">
                  <c:v>41988</c:v>
                </c:pt>
                <c:pt idx="574">
                  <c:v>41985</c:v>
                </c:pt>
                <c:pt idx="575">
                  <c:v>41984</c:v>
                </c:pt>
                <c:pt idx="576">
                  <c:v>41983</c:v>
                </c:pt>
                <c:pt idx="577">
                  <c:v>41982</c:v>
                </c:pt>
                <c:pt idx="578">
                  <c:v>41981</c:v>
                </c:pt>
                <c:pt idx="579">
                  <c:v>41978</c:v>
                </c:pt>
                <c:pt idx="580">
                  <c:v>41977</c:v>
                </c:pt>
                <c:pt idx="581">
                  <c:v>41976</c:v>
                </c:pt>
                <c:pt idx="582">
                  <c:v>41975</c:v>
                </c:pt>
                <c:pt idx="583">
                  <c:v>41974</c:v>
                </c:pt>
                <c:pt idx="584">
                  <c:v>41971</c:v>
                </c:pt>
                <c:pt idx="585">
                  <c:v>41969</c:v>
                </c:pt>
                <c:pt idx="586">
                  <c:v>41968</c:v>
                </c:pt>
                <c:pt idx="587">
                  <c:v>41967</c:v>
                </c:pt>
                <c:pt idx="588">
                  <c:v>41964</c:v>
                </c:pt>
                <c:pt idx="589">
                  <c:v>41963</c:v>
                </c:pt>
                <c:pt idx="590">
                  <c:v>41962</c:v>
                </c:pt>
                <c:pt idx="591">
                  <c:v>41961</c:v>
                </c:pt>
                <c:pt idx="592">
                  <c:v>41960</c:v>
                </c:pt>
                <c:pt idx="593">
                  <c:v>41957</c:v>
                </c:pt>
                <c:pt idx="594">
                  <c:v>41956</c:v>
                </c:pt>
                <c:pt idx="595">
                  <c:v>41955</c:v>
                </c:pt>
                <c:pt idx="596">
                  <c:v>41954</c:v>
                </c:pt>
                <c:pt idx="597">
                  <c:v>41953</c:v>
                </c:pt>
                <c:pt idx="598">
                  <c:v>41950</c:v>
                </c:pt>
                <c:pt idx="599">
                  <c:v>41949</c:v>
                </c:pt>
                <c:pt idx="600">
                  <c:v>41948</c:v>
                </c:pt>
                <c:pt idx="601">
                  <c:v>41947</c:v>
                </c:pt>
                <c:pt idx="602">
                  <c:v>41946</c:v>
                </c:pt>
                <c:pt idx="603">
                  <c:v>41943</c:v>
                </c:pt>
                <c:pt idx="604">
                  <c:v>41942</c:v>
                </c:pt>
                <c:pt idx="605">
                  <c:v>41941</c:v>
                </c:pt>
                <c:pt idx="606">
                  <c:v>41940</c:v>
                </c:pt>
                <c:pt idx="607">
                  <c:v>41939</c:v>
                </c:pt>
                <c:pt idx="608">
                  <c:v>41936</c:v>
                </c:pt>
                <c:pt idx="609">
                  <c:v>41935</c:v>
                </c:pt>
                <c:pt idx="610">
                  <c:v>41934</c:v>
                </c:pt>
                <c:pt idx="611">
                  <c:v>41933</c:v>
                </c:pt>
                <c:pt idx="612">
                  <c:v>41932</c:v>
                </c:pt>
                <c:pt idx="613">
                  <c:v>41929</c:v>
                </c:pt>
                <c:pt idx="614">
                  <c:v>41928</c:v>
                </c:pt>
                <c:pt idx="615">
                  <c:v>41927</c:v>
                </c:pt>
                <c:pt idx="616">
                  <c:v>41926</c:v>
                </c:pt>
                <c:pt idx="617">
                  <c:v>41925</c:v>
                </c:pt>
                <c:pt idx="618">
                  <c:v>41922</c:v>
                </c:pt>
                <c:pt idx="619">
                  <c:v>41921</c:v>
                </c:pt>
                <c:pt idx="620">
                  <c:v>41920</c:v>
                </c:pt>
                <c:pt idx="621">
                  <c:v>41919</c:v>
                </c:pt>
                <c:pt idx="622">
                  <c:v>41918</c:v>
                </c:pt>
                <c:pt idx="623">
                  <c:v>41915</c:v>
                </c:pt>
                <c:pt idx="624">
                  <c:v>41914</c:v>
                </c:pt>
                <c:pt idx="625">
                  <c:v>41913</c:v>
                </c:pt>
                <c:pt idx="626">
                  <c:v>41912</c:v>
                </c:pt>
                <c:pt idx="627">
                  <c:v>41911</c:v>
                </c:pt>
                <c:pt idx="628">
                  <c:v>41908</c:v>
                </c:pt>
                <c:pt idx="629">
                  <c:v>41907</c:v>
                </c:pt>
                <c:pt idx="630">
                  <c:v>41906</c:v>
                </c:pt>
                <c:pt idx="631">
                  <c:v>41905</c:v>
                </c:pt>
                <c:pt idx="632">
                  <c:v>41904</c:v>
                </c:pt>
                <c:pt idx="633">
                  <c:v>41901</c:v>
                </c:pt>
                <c:pt idx="634">
                  <c:v>41900</c:v>
                </c:pt>
                <c:pt idx="635">
                  <c:v>41899</c:v>
                </c:pt>
                <c:pt idx="636">
                  <c:v>41898</c:v>
                </c:pt>
                <c:pt idx="637">
                  <c:v>41897</c:v>
                </c:pt>
                <c:pt idx="638">
                  <c:v>41894</c:v>
                </c:pt>
                <c:pt idx="639">
                  <c:v>41893</c:v>
                </c:pt>
                <c:pt idx="640">
                  <c:v>41892</c:v>
                </c:pt>
                <c:pt idx="641">
                  <c:v>41891</c:v>
                </c:pt>
                <c:pt idx="642">
                  <c:v>41890</c:v>
                </c:pt>
                <c:pt idx="643">
                  <c:v>41887</c:v>
                </c:pt>
                <c:pt idx="644">
                  <c:v>41886</c:v>
                </c:pt>
                <c:pt idx="645">
                  <c:v>41885</c:v>
                </c:pt>
                <c:pt idx="646">
                  <c:v>41884</c:v>
                </c:pt>
                <c:pt idx="647">
                  <c:v>41880</c:v>
                </c:pt>
                <c:pt idx="648">
                  <c:v>41879</c:v>
                </c:pt>
                <c:pt idx="649">
                  <c:v>41878</c:v>
                </c:pt>
                <c:pt idx="650">
                  <c:v>41877</c:v>
                </c:pt>
                <c:pt idx="651">
                  <c:v>41876</c:v>
                </c:pt>
                <c:pt idx="652">
                  <c:v>41873</c:v>
                </c:pt>
                <c:pt idx="653">
                  <c:v>41872</c:v>
                </c:pt>
                <c:pt idx="654">
                  <c:v>41871</c:v>
                </c:pt>
                <c:pt idx="655">
                  <c:v>41870</c:v>
                </c:pt>
                <c:pt idx="656">
                  <c:v>41869</c:v>
                </c:pt>
                <c:pt idx="657">
                  <c:v>41866</c:v>
                </c:pt>
                <c:pt idx="658">
                  <c:v>41865</c:v>
                </c:pt>
                <c:pt idx="659">
                  <c:v>41864</c:v>
                </c:pt>
                <c:pt idx="660">
                  <c:v>41863</c:v>
                </c:pt>
                <c:pt idx="661">
                  <c:v>41862</c:v>
                </c:pt>
                <c:pt idx="662">
                  <c:v>41859</c:v>
                </c:pt>
                <c:pt idx="663">
                  <c:v>41858</c:v>
                </c:pt>
                <c:pt idx="664">
                  <c:v>41857</c:v>
                </c:pt>
                <c:pt idx="665">
                  <c:v>41856</c:v>
                </c:pt>
                <c:pt idx="666">
                  <c:v>41855</c:v>
                </c:pt>
                <c:pt idx="667">
                  <c:v>41852</c:v>
                </c:pt>
                <c:pt idx="668">
                  <c:v>41851</c:v>
                </c:pt>
                <c:pt idx="669">
                  <c:v>41850</c:v>
                </c:pt>
                <c:pt idx="670">
                  <c:v>41849</c:v>
                </c:pt>
                <c:pt idx="671">
                  <c:v>41848</c:v>
                </c:pt>
                <c:pt idx="672">
                  <c:v>41845</c:v>
                </c:pt>
                <c:pt idx="673">
                  <c:v>41844</c:v>
                </c:pt>
                <c:pt idx="674">
                  <c:v>41843</c:v>
                </c:pt>
                <c:pt idx="675">
                  <c:v>41842</c:v>
                </c:pt>
                <c:pt idx="676">
                  <c:v>41841</c:v>
                </c:pt>
                <c:pt idx="677">
                  <c:v>41838</c:v>
                </c:pt>
                <c:pt idx="678">
                  <c:v>41837</c:v>
                </c:pt>
                <c:pt idx="679">
                  <c:v>41836</c:v>
                </c:pt>
                <c:pt idx="680">
                  <c:v>41835</c:v>
                </c:pt>
                <c:pt idx="681">
                  <c:v>41834</c:v>
                </c:pt>
                <c:pt idx="682">
                  <c:v>41831</c:v>
                </c:pt>
                <c:pt idx="683">
                  <c:v>41830</c:v>
                </c:pt>
                <c:pt idx="684">
                  <c:v>41829</c:v>
                </c:pt>
                <c:pt idx="685">
                  <c:v>41828</c:v>
                </c:pt>
                <c:pt idx="686">
                  <c:v>41827</c:v>
                </c:pt>
                <c:pt idx="687">
                  <c:v>41823</c:v>
                </c:pt>
                <c:pt idx="688">
                  <c:v>41822</c:v>
                </c:pt>
                <c:pt idx="689">
                  <c:v>41821</c:v>
                </c:pt>
                <c:pt idx="690">
                  <c:v>41820</c:v>
                </c:pt>
                <c:pt idx="691">
                  <c:v>41817</c:v>
                </c:pt>
                <c:pt idx="692">
                  <c:v>41816</c:v>
                </c:pt>
                <c:pt idx="693">
                  <c:v>41815</c:v>
                </c:pt>
                <c:pt idx="694">
                  <c:v>41814</c:v>
                </c:pt>
                <c:pt idx="695">
                  <c:v>41813</c:v>
                </c:pt>
                <c:pt idx="696">
                  <c:v>41810</c:v>
                </c:pt>
                <c:pt idx="697">
                  <c:v>41809</c:v>
                </c:pt>
                <c:pt idx="698">
                  <c:v>41808</c:v>
                </c:pt>
                <c:pt idx="699">
                  <c:v>41807</c:v>
                </c:pt>
                <c:pt idx="700">
                  <c:v>41806</c:v>
                </c:pt>
                <c:pt idx="701">
                  <c:v>41803</c:v>
                </c:pt>
                <c:pt idx="702">
                  <c:v>41802</c:v>
                </c:pt>
                <c:pt idx="703">
                  <c:v>41801</c:v>
                </c:pt>
                <c:pt idx="704">
                  <c:v>41800</c:v>
                </c:pt>
                <c:pt idx="705">
                  <c:v>41799</c:v>
                </c:pt>
                <c:pt idx="706">
                  <c:v>41796</c:v>
                </c:pt>
                <c:pt idx="707">
                  <c:v>41795</c:v>
                </c:pt>
                <c:pt idx="708">
                  <c:v>41794</c:v>
                </c:pt>
                <c:pt idx="709">
                  <c:v>41793</c:v>
                </c:pt>
                <c:pt idx="710">
                  <c:v>41792</c:v>
                </c:pt>
                <c:pt idx="711">
                  <c:v>41789</c:v>
                </c:pt>
                <c:pt idx="712">
                  <c:v>41788</c:v>
                </c:pt>
                <c:pt idx="713">
                  <c:v>41787</c:v>
                </c:pt>
                <c:pt idx="714">
                  <c:v>41786</c:v>
                </c:pt>
                <c:pt idx="715">
                  <c:v>41782</c:v>
                </c:pt>
                <c:pt idx="716">
                  <c:v>41781</c:v>
                </c:pt>
                <c:pt idx="717">
                  <c:v>41780</c:v>
                </c:pt>
                <c:pt idx="718">
                  <c:v>41779</c:v>
                </c:pt>
                <c:pt idx="719">
                  <c:v>41778</c:v>
                </c:pt>
                <c:pt idx="720">
                  <c:v>41775</c:v>
                </c:pt>
                <c:pt idx="721">
                  <c:v>41774</c:v>
                </c:pt>
                <c:pt idx="722">
                  <c:v>41773</c:v>
                </c:pt>
                <c:pt idx="723">
                  <c:v>41772</c:v>
                </c:pt>
                <c:pt idx="724">
                  <c:v>41771</c:v>
                </c:pt>
                <c:pt idx="725">
                  <c:v>41768</c:v>
                </c:pt>
                <c:pt idx="726">
                  <c:v>41767</c:v>
                </c:pt>
                <c:pt idx="727">
                  <c:v>41766</c:v>
                </c:pt>
                <c:pt idx="728">
                  <c:v>41765</c:v>
                </c:pt>
                <c:pt idx="729">
                  <c:v>41764</c:v>
                </c:pt>
                <c:pt idx="730">
                  <c:v>41761</c:v>
                </c:pt>
                <c:pt idx="731">
                  <c:v>41760</c:v>
                </c:pt>
                <c:pt idx="732">
                  <c:v>41759</c:v>
                </c:pt>
                <c:pt idx="733">
                  <c:v>41758</c:v>
                </c:pt>
                <c:pt idx="734">
                  <c:v>41757</c:v>
                </c:pt>
                <c:pt idx="735">
                  <c:v>41754</c:v>
                </c:pt>
                <c:pt idx="736">
                  <c:v>41753</c:v>
                </c:pt>
                <c:pt idx="737">
                  <c:v>41752</c:v>
                </c:pt>
                <c:pt idx="738">
                  <c:v>41751</c:v>
                </c:pt>
                <c:pt idx="739">
                  <c:v>41750</c:v>
                </c:pt>
                <c:pt idx="740">
                  <c:v>41746</c:v>
                </c:pt>
                <c:pt idx="741">
                  <c:v>41745</c:v>
                </c:pt>
                <c:pt idx="742">
                  <c:v>41744</c:v>
                </c:pt>
                <c:pt idx="743">
                  <c:v>41743</c:v>
                </c:pt>
                <c:pt idx="744">
                  <c:v>41740</c:v>
                </c:pt>
                <c:pt idx="745">
                  <c:v>41739</c:v>
                </c:pt>
                <c:pt idx="746">
                  <c:v>41738</c:v>
                </c:pt>
                <c:pt idx="747">
                  <c:v>41737</c:v>
                </c:pt>
                <c:pt idx="748">
                  <c:v>41736</c:v>
                </c:pt>
                <c:pt idx="749">
                  <c:v>41733</c:v>
                </c:pt>
                <c:pt idx="750">
                  <c:v>41732</c:v>
                </c:pt>
                <c:pt idx="751">
                  <c:v>41731</c:v>
                </c:pt>
                <c:pt idx="752">
                  <c:v>41730</c:v>
                </c:pt>
                <c:pt idx="753">
                  <c:v>41729</c:v>
                </c:pt>
                <c:pt idx="754">
                  <c:v>41726</c:v>
                </c:pt>
                <c:pt idx="755">
                  <c:v>41725</c:v>
                </c:pt>
                <c:pt idx="756">
                  <c:v>41724</c:v>
                </c:pt>
                <c:pt idx="757">
                  <c:v>41723</c:v>
                </c:pt>
                <c:pt idx="758">
                  <c:v>41722</c:v>
                </c:pt>
                <c:pt idx="759">
                  <c:v>41719</c:v>
                </c:pt>
                <c:pt idx="760">
                  <c:v>41718</c:v>
                </c:pt>
                <c:pt idx="761">
                  <c:v>41717</c:v>
                </c:pt>
                <c:pt idx="762">
                  <c:v>41716</c:v>
                </c:pt>
                <c:pt idx="763">
                  <c:v>41715</c:v>
                </c:pt>
                <c:pt idx="764">
                  <c:v>41712</c:v>
                </c:pt>
                <c:pt idx="765">
                  <c:v>41711</c:v>
                </c:pt>
                <c:pt idx="766">
                  <c:v>41710</c:v>
                </c:pt>
                <c:pt idx="767">
                  <c:v>41709</c:v>
                </c:pt>
                <c:pt idx="768">
                  <c:v>41708</c:v>
                </c:pt>
                <c:pt idx="769">
                  <c:v>41705</c:v>
                </c:pt>
                <c:pt idx="770">
                  <c:v>41704</c:v>
                </c:pt>
                <c:pt idx="771">
                  <c:v>41703</c:v>
                </c:pt>
                <c:pt idx="772">
                  <c:v>41702</c:v>
                </c:pt>
                <c:pt idx="773">
                  <c:v>41701</c:v>
                </c:pt>
                <c:pt idx="774">
                  <c:v>41698</c:v>
                </c:pt>
                <c:pt idx="775">
                  <c:v>41697</c:v>
                </c:pt>
                <c:pt idx="776">
                  <c:v>41696</c:v>
                </c:pt>
                <c:pt idx="777">
                  <c:v>41695</c:v>
                </c:pt>
                <c:pt idx="778">
                  <c:v>41694</c:v>
                </c:pt>
                <c:pt idx="779">
                  <c:v>41691</c:v>
                </c:pt>
                <c:pt idx="780">
                  <c:v>41690</c:v>
                </c:pt>
                <c:pt idx="781">
                  <c:v>41689</c:v>
                </c:pt>
                <c:pt idx="782">
                  <c:v>41688</c:v>
                </c:pt>
                <c:pt idx="783">
                  <c:v>41684</c:v>
                </c:pt>
                <c:pt idx="784">
                  <c:v>41683</c:v>
                </c:pt>
                <c:pt idx="785">
                  <c:v>41682</c:v>
                </c:pt>
                <c:pt idx="786">
                  <c:v>41681</c:v>
                </c:pt>
                <c:pt idx="787">
                  <c:v>41680</c:v>
                </c:pt>
                <c:pt idx="788">
                  <c:v>41677</c:v>
                </c:pt>
                <c:pt idx="789">
                  <c:v>41676</c:v>
                </c:pt>
                <c:pt idx="790">
                  <c:v>41675</c:v>
                </c:pt>
                <c:pt idx="791">
                  <c:v>41674</c:v>
                </c:pt>
                <c:pt idx="792">
                  <c:v>41673</c:v>
                </c:pt>
                <c:pt idx="793">
                  <c:v>41670</c:v>
                </c:pt>
                <c:pt idx="794">
                  <c:v>41669</c:v>
                </c:pt>
                <c:pt idx="795">
                  <c:v>41668</c:v>
                </c:pt>
                <c:pt idx="796">
                  <c:v>41667</c:v>
                </c:pt>
                <c:pt idx="797">
                  <c:v>41666</c:v>
                </c:pt>
                <c:pt idx="798">
                  <c:v>41663</c:v>
                </c:pt>
                <c:pt idx="799">
                  <c:v>41662</c:v>
                </c:pt>
                <c:pt idx="800">
                  <c:v>41661</c:v>
                </c:pt>
                <c:pt idx="801">
                  <c:v>41660</c:v>
                </c:pt>
                <c:pt idx="802">
                  <c:v>41656</c:v>
                </c:pt>
                <c:pt idx="803">
                  <c:v>41655</c:v>
                </c:pt>
                <c:pt idx="804">
                  <c:v>41654</c:v>
                </c:pt>
                <c:pt idx="805">
                  <c:v>41653</c:v>
                </c:pt>
                <c:pt idx="806">
                  <c:v>41652</c:v>
                </c:pt>
                <c:pt idx="807">
                  <c:v>41649</c:v>
                </c:pt>
                <c:pt idx="808">
                  <c:v>41648</c:v>
                </c:pt>
                <c:pt idx="809">
                  <c:v>41647</c:v>
                </c:pt>
                <c:pt idx="810">
                  <c:v>41646</c:v>
                </c:pt>
                <c:pt idx="811">
                  <c:v>41645</c:v>
                </c:pt>
                <c:pt idx="812">
                  <c:v>41642</c:v>
                </c:pt>
                <c:pt idx="813">
                  <c:v>41641</c:v>
                </c:pt>
              </c:numCache>
            </c:numRef>
          </c:cat>
          <c:val>
            <c:numRef>
              <c:f>'Oil Price and factors'!$B$5:$B$818</c:f>
              <c:numCache>
                <c:formatCode>General</c:formatCode>
                <c:ptCount val="814"/>
                <c:pt idx="0">
                  <c:v>47.02</c:v>
                </c:pt>
                <c:pt idx="1">
                  <c:v>47.3</c:v>
                </c:pt>
                <c:pt idx="2">
                  <c:v>47</c:v>
                </c:pt>
                <c:pt idx="3">
                  <c:v>47.29</c:v>
                </c:pt>
                <c:pt idx="4">
                  <c:v>47.02</c:v>
                </c:pt>
                <c:pt idx="5">
                  <c:v>47.79</c:v>
                </c:pt>
                <c:pt idx="6">
                  <c:v>48.34</c:v>
                </c:pt>
                <c:pt idx="7">
                  <c:v>48.3</c:v>
                </c:pt>
                <c:pt idx="8">
                  <c:v>48.34</c:v>
                </c:pt>
                <c:pt idx="9">
                  <c:v>47.24</c:v>
                </c:pt>
                <c:pt idx="10">
                  <c:v>47.95</c:v>
                </c:pt>
                <c:pt idx="11">
                  <c:v>48.05</c:v>
                </c:pt>
                <c:pt idx="12">
                  <c:v>48.75</c:v>
                </c:pt>
                <c:pt idx="13">
                  <c:v>49.83</c:v>
                </c:pt>
                <c:pt idx="14">
                  <c:v>52.68</c:v>
                </c:pt>
                <c:pt idx="15">
                  <c:v>53.19</c:v>
                </c:pt>
                <c:pt idx="16">
                  <c:v>53.33</c:v>
                </c:pt>
                <c:pt idx="17">
                  <c:v>52.63</c:v>
                </c:pt>
                <c:pt idx="18">
                  <c:v>53.82</c:v>
                </c:pt>
                <c:pt idx="19">
                  <c:v>54</c:v>
                </c:pt>
                <c:pt idx="20">
                  <c:v>54.04</c:v>
                </c:pt>
                <c:pt idx="21">
                  <c:v>53.99</c:v>
                </c:pt>
                <c:pt idx="22">
                  <c:v>54.48</c:v>
                </c:pt>
                <c:pt idx="23">
                  <c:v>53.61</c:v>
                </c:pt>
                <c:pt idx="24">
                  <c:v>54.02</c:v>
                </c:pt>
                <c:pt idx="25">
                  <c:v>53.41</c:v>
                </c:pt>
                <c:pt idx="26">
                  <c:v>53.41</c:v>
                </c:pt>
                <c:pt idx="27">
                  <c:v>53.11</c:v>
                </c:pt>
                <c:pt idx="28">
                  <c:v>53.21</c:v>
                </c:pt>
                <c:pt idx="29">
                  <c:v>52.96</c:v>
                </c:pt>
                <c:pt idx="30">
                  <c:v>53.84</c:v>
                </c:pt>
                <c:pt idx="31">
                  <c:v>52.99</c:v>
                </c:pt>
                <c:pt idx="32">
                  <c:v>52.37</c:v>
                </c:pt>
                <c:pt idx="33">
                  <c:v>52.19</c:v>
                </c:pt>
                <c:pt idx="34">
                  <c:v>53.01</c:v>
                </c:pt>
                <c:pt idx="35">
                  <c:v>53.81</c:v>
                </c:pt>
                <c:pt idx="36">
                  <c:v>53.55</c:v>
                </c:pt>
                <c:pt idx="37">
                  <c:v>53.9</c:v>
                </c:pt>
                <c:pt idx="38">
                  <c:v>52.75</c:v>
                </c:pt>
                <c:pt idx="39">
                  <c:v>52.63</c:v>
                </c:pt>
                <c:pt idx="40">
                  <c:v>53.18</c:v>
                </c:pt>
                <c:pt idx="41">
                  <c:v>53.24</c:v>
                </c:pt>
                <c:pt idx="42">
                  <c:v>52.14</c:v>
                </c:pt>
                <c:pt idx="43">
                  <c:v>52.38</c:v>
                </c:pt>
                <c:pt idx="44">
                  <c:v>52.77</c:v>
                </c:pt>
                <c:pt idx="45">
                  <c:v>52.33</c:v>
                </c:pt>
                <c:pt idx="46">
                  <c:v>51.39</c:v>
                </c:pt>
                <c:pt idx="47">
                  <c:v>51.12</c:v>
                </c:pt>
                <c:pt idx="48">
                  <c:v>52.45</c:v>
                </c:pt>
                <c:pt idx="49">
                  <c:v>52.36</c:v>
                </c:pt>
                <c:pt idx="50">
                  <c:v>53.01</c:v>
                </c:pt>
                <c:pt idx="51">
                  <c:v>52.19</c:v>
                </c:pt>
                <c:pt idx="52">
                  <c:v>50.82</c:v>
                </c:pt>
                <c:pt idx="53">
                  <c:v>51.95</c:v>
                </c:pt>
                <c:pt idx="54">
                  <c:v>53.98</c:v>
                </c:pt>
                <c:pt idx="55">
                  <c:v>53.77</c:v>
                </c:pt>
                <c:pt idx="56">
                  <c:v>53.26</c:v>
                </c:pt>
                <c:pt idx="57">
                  <c:v>52.36</c:v>
                </c:pt>
                <c:pt idx="58">
                  <c:v>53.75</c:v>
                </c:pt>
                <c:pt idx="59">
                  <c:v>53.8</c:v>
                </c:pt>
                <c:pt idx="60">
                  <c:v>54.01</c:v>
                </c:pt>
                <c:pt idx="61">
                  <c:v>52.82</c:v>
                </c:pt>
                <c:pt idx="62">
                  <c:v>52.01</c:v>
                </c:pt>
                <c:pt idx="63">
                  <c:v>51.98</c:v>
                </c:pt>
                <c:pt idx="64">
                  <c:v>51.44</c:v>
                </c:pt>
                <c:pt idx="65">
                  <c:v>52.22</c:v>
                </c:pt>
                <c:pt idx="66">
                  <c:v>52.13</c:v>
                </c:pt>
                <c:pt idx="67">
                  <c:v>51.93</c:v>
                </c:pt>
                <c:pt idx="68">
                  <c:v>50.9</c:v>
                </c:pt>
                <c:pt idx="69">
                  <c:v>51.01</c:v>
                </c:pt>
                <c:pt idx="70">
                  <c:v>52.99</c:v>
                </c:pt>
                <c:pt idx="71">
                  <c:v>52.74</c:v>
                </c:pt>
                <c:pt idx="72">
                  <c:v>51.51</c:v>
                </c:pt>
                <c:pt idx="73">
                  <c:v>50.84</c:v>
                </c:pt>
                <c:pt idx="74">
                  <c:v>49.85</c:v>
                </c:pt>
                <c:pt idx="75">
                  <c:v>50.95</c:v>
                </c:pt>
                <c:pt idx="76">
                  <c:v>51.72</c:v>
                </c:pt>
                <c:pt idx="77">
                  <c:v>51.7</c:v>
                </c:pt>
                <c:pt idx="78">
                  <c:v>51.08</c:v>
                </c:pt>
                <c:pt idx="79">
                  <c:v>49.41</c:v>
                </c:pt>
                <c:pt idx="80">
                  <c:v>45.29</c:v>
                </c:pt>
                <c:pt idx="81">
                  <c:v>45.66</c:v>
                </c:pt>
                <c:pt idx="82">
                  <c:v>46.72</c:v>
                </c:pt>
                <c:pt idx="83">
                  <c:v>46.72</c:v>
                </c:pt>
                <c:pt idx="84">
                  <c:v>48.07</c:v>
                </c:pt>
                <c:pt idx="85">
                  <c:v>47.48</c:v>
                </c:pt>
                <c:pt idx="86">
                  <c:v>45.69</c:v>
                </c:pt>
                <c:pt idx="87">
                  <c:v>45.37</c:v>
                </c:pt>
                <c:pt idx="88">
                  <c:v>45.56</c:v>
                </c:pt>
                <c:pt idx="89">
                  <c:v>45.86</c:v>
                </c:pt>
                <c:pt idx="90">
                  <c:v>43.29</c:v>
                </c:pt>
                <c:pt idx="91">
                  <c:v>43.39</c:v>
                </c:pt>
                <c:pt idx="92">
                  <c:v>44.62</c:v>
                </c:pt>
                <c:pt idx="93">
                  <c:v>45.2</c:v>
                </c:pt>
                <c:pt idx="94">
                  <c:v>44.96</c:v>
                </c:pt>
                <c:pt idx="95">
                  <c:v>44.88</c:v>
                </c:pt>
                <c:pt idx="96">
                  <c:v>44.07</c:v>
                </c:pt>
                <c:pt idx="97">
                  <c:v>44.66</c:v>
                </c:pt>
                <c:pt idx="98">
                  <c:v>45.32</c:v>
                </c:pt>
                <c:pt idx="99">
                  <c:v>46.66</c:v>
                </c:pt>
                <c:pt idx="100">
                  <c:v>46.83</c:v>
                </c:pt>
                <c:pt idx="101">
                  <c:v>48.72</c:v>
                </c:pt>
                <c:pt idx="102">
                  <c:v>49.71</c:v>
                </c:pt>
                <c:pt idx="103">
                  <c:v>48.75</c:v>
                </c:pt>
                <c:pt idx="104">
                  <c:v>49.45</c:v>
                </c:pt>
                <c:pt idx="105">
                  <c:v>50.18</c:v>
                </c:pt>
                <c:pt idx="106">
                  <c:v>50.61</c:v>
                </c:pt>
                <c:pt idx="107">
                  <c:v>50.31</c:v>
                </c:pt>
                <c:pt idx="108">
                  <c:v>51.59</c:v>
                </c:pt>
                <c:pt idx="109">
                  <c:v>50.3</c:v>
                </c:pt>
                <c:pt idx="110">
                  <c:v>49.97</c:v>
                </c:pt>
                <c:pt idx="111">
                  <c:v>50.35</c:v>
                </c:pt>
                <c:pt idx="112">
                  <c:v>50.47</c:v>
                </c:pt>
                <c:pt idx="113">
                  <c:v>50.14</c:v>
                </c:pt>
                <c:pt idx="114">
                  <c:v>50.72</c:v>
                </c:pt>
                <c:pt idx="115">
                  <c:v>49.76</c:v>
                </c:pt>
                <c:pt idx="116">
                  <c:v>49.76</c:v>
                </c:pt>
                <c:pt idx="117">
                  <c:v>50.44</c:v>
                </c:pt>
                <c:pt idx="118">
                  <c:v>49.75</c:v>
                </c:pt>
                <c:pt idx="119">
                  <c:v>48.67</c:v>
                </c:pt>
                <c:pt idx="120">
                  <c:v>48.8</c:v>
                </c:pt>
                <c:pt idx="121">
                  <c:v>47.72</c:v>
                </c:pt>
                <c:pt idx="122">
                  <c:v>47.72</c:v>
                </c:pt>
                <c:pt idx="123">
                  <c:v>47.07</c:v>
                </c:pt>
                <c:pt idx="124">
                  <c:v>44.65</c:v>
                </c:pt>
                <c:pt idx="125">
                  <c:v>45.6</c:v>
                </c:pt>
                <c:pt idx="126">
                  <c:v>44.36</c:v>
                </c:pt>
                <c:pt idx="127">
                  <c:v>46.1</c:v>
                </c:pt>
                <c:pt idx="128">
                  <c:v>45.33</c:v>
                </c:pt>
                <c:pt idx="129">
                  <c:v>43.85</c:v>
                </c:pt>
                <c:pt idx="130">
                  <c:v>43.34</c:v>
                </c:pt>
                <c:pt idx="131">
                  <c:v>43.04</c:v>
                </c:pt>
                <c:pt idx="132">
                  <c:v>43.85</c:v>
                </c:pt>
                <c:pt idx="133">
                  <c:v>43.62</c:v>
                </c:pt>
                <c:pt idx="134">
                  <c:v>44.91</c:v>
                </c:pt>
                <c:pt idx="135">
                  <c:v>46.28</c:v>
                </c:pt>
                <c:pt idx="136">
                  <c:v>45.88</c:v>
                </c:pt>
                <c:pt idx="137">
                  <c:v>47.63</c:v>
                </c:pt>
                <c:pt idx="138">
                  <c:v>45.47</c:v>
                </c:pt>
                <c:pt idx="139">
                  <c:v>44.85</c:v>
                </c:pt>
                <c:pt idx="140">
                  <c:v>44.39</c:v>
                </c:pt>
                <c:pt idx="141">
                  <c:v>43.17</c:v>
                </c:pt>
                <c:pt idx="142">
                  <c:v>44.68</c:v>
                </c:pt>
                <c:pt idx="143">
                  <c:v>46.32</c:v>
                </c:pt>
                <c:pt idx="144">
                  <c:v>46.97</c:v>
                </c:pt>
                <c:pt idx="145">
                  <c:v>47.64</c:v>
                </c:pt>
                <c:pt idx="146">
                  <c:v>46.97</c:v>
                </c:pt>
                <c:pt idx="147">
                  <c:v>46.29</c:v>
                </c:pt>
                <c:pt idx="148">
                  <c:v>47.54</c:v>
                </c:pt>
                <c:pt idx="149">
                  <c:v>46.8</c:v>
                </c:pt>
                <c:pt idx="150">
                  <c:v>48.48</c:v>
                </c:pt>
                <c:pt idx="151">
                  <c:v>48.2</c:v>
                </c:pt>
                <c:pt idx="152">
                  <c:v>46.81</c:v>
                </c:pt>
                <c:pt idx="153">
                  <c:v>46.57</c:v>
                </c:pt>
                <c:pt idx="154">
                  <c:v>45.72</c:v>
                </c:pt>
                <c:pt idx="155">
                  <c:v>44.47</c:v>
                </c:pt>
                <c:pt idx="156">
                  <c:v>43.51</c:v>
                </c:pt>
                <c:pt idx="157">
                  <c:v>41.75</c:v>
                </c:pt>
                <c:pt idx="158">
                  <c:v>42.78</c:v>
                </c:pt>
                <c:pt idx="159">
                  <c:v>43.06</c:v>
                </c:pt>
                <c:pt idx="160">
                  <c:v>41.83</c:v>
                </c:pt>
                <c:pt idx="161">
                  <c:v>41.92</c:v>
                </c:pt>
                <c:pt idx="162">
                  <c:v>40.799999999999997</c:v>
                </c:pt>
                <c:pt idx="163">
                  <c:v>39.5</c:v>
                </c:pt>
                <c:pt idx="164">
                  <c:v>40.049999999999997</c:v>
                </c:pt>
                <c:pt idx="165">
                  <c:v>41.54</c:v>
                </c:pt>
                <c:pt idx="166">
                  <c:v>41.13</c:v>
                </c:pt>
                <c:pt idx="167">
                  <c:v>41.9</c:v>
                </c:pt>
                <c:pt idx="168">
                  <c:v>42.16</c:v>
                </c:pt>
                <c:pt idx="169">
                  <c:v>42.4</c:v>
                </c:pt>
                <c:pt idx="170">
                  <c:v>43.41</c:v>
                </c:pt>
                <c:pt idx="171">
                  <c:v>43.96</c:v>
                </c:pt>
                <c:pt idx="172">
                  <c:v>44.96</c:v>
                </c:pt>
                <c:pt idx="173">
                  <c:v>44.64</c:v>
                </c:pt>
                <c:pt idx="174">
                  <c:v>45.23</c:v>
                </c:pt>
                <c:pt idx="175">
                  <c:v>45.93</c:v>
                </c:pt>
                <c:pt idx="176">
                  <c:v>45.64</c:v>
                </c:pt>
                <c:pt idx="177">
                  <c:v>44.87</c:v>
                </c:pt>
                <c:pt idx="178">
                  <c:v>46.82</c:v>
                </c:pt>
                <c:pt idx="179">
                  <c:v>44.73</c:v>
                </c:pt>
                <c:pt idx="180">
                  <c:v>45.37</c:v>
                </c:pt>
                <c:pt idx="181">
                  <c:v>45.22</c:v>
                </c:pt>
                <c:pt idx="182">
                  <c:v>47.37</c:v>
                </c:pt>
                <c:pt idx="183">
                  <c:v>46.73</c:v>
                </c:pt>
                <c:pt idx="184">
                  <c:v>49.02</c:v>
                </c:pt>
                <c:pt idx="185">
                  <c:v>48.27</c:v>
                </c:pt>
                <c:pt idx="186">
                  <c:v>49.85</c:v>
                </c:pt>
                <c:pt idx="187">
                  <c:v>47.93</c:v>
                </c:pt>
                <c:pt idx="188">
                  <c:v>45.8</c:v>
                </c:pt>
                <c:pt idx="189">
                  <c:v>46.7</c:v>
                </c:pt>
                <c:pt idx="190">
                  <c:v>49.34</c:v>
                </c:pt>
                <c:pt idx="191">
                  <c:v>49.16</c:v>
                </c:pt>
                <c:pt idx="192">
                  <c:v>48.95</c:v>
                </c:pt>
                <c:pt idx="193">
                  <c:v>49.4</c:v>
                </c:pt>
                <c:pt idx="194">
                  <c:v>48</c:v>
                </c:pt>
                <c:pt idx="195">
                  <c:v>46.14</c:v>
                </c:pt>
                <c:pt idx="196">
                  <c:v>47.92</c:v>
                </c:pt>
                <c:pt idx="197">
                  <c:v>48.49</c:v>
                </c:pt>
                <c:pt idx="198">
                  <c:v>48.89</c:v>
                </c:pt>
                <c:pt idx="199">
                  <c:v>49.09</c:v>
                </c:pt>
                <c:pt idx="200">
                  <c:v>50.52</c:v>
                </c:pt>
                <c:pt idx="201">
                  <c:v>51.23</c:v>
                </c:pt>
                <c:pt idx="202">
                  <c:v>50.37</c:v>
                </c:pt>
                <c:pt idx="203">
                  <c:v>49.71</c:v>
                </c:pt>
                <c:pt idx="204">
                  <c:v>48.69</c:v>
                </c:pt>
                <c:pt idx="205">
                  <c:v>49.14</c:v>
                </c:pt>
                <c:pt idx="206">
                  <c:v>49.07</c:v>
                </c:pt>
                <c:pt idx="207">
                  <c:v>49.1</c:v>
                </c:pt>
                <c:pt idx="208">
                  <c:v>49.36</c:v>
                </c:pt>
                <c:pt idx="209">
                  <c:v>49</c:v>
                </c:pt>
                <c:pt idx="210">
                  <c:v>49.1</c:v>
                </c:pt>
                <c:pt idx="211">
                  <c:v>48.04</c:v>
                </c:pt>
                <c:pt idx="212">
                  <c:v>48.12</c:v>
                </c:pt>
                <c:pt idx="213">
                  <c:v>47.67</c:v>
                </c:pt>
                <c:pt idx="214">
                  <c:v>48.16</c:v>
                </c:pt>
                <c:pt idx="215">
                  <c:v>48.12</c:v>
                </c:pt>
                <c:pt idx="216">
                  <c:v>48.29</c:v>
                </c:pt>
                <c:pt idx="217">
                  <c:v>47.72</c:v>
                </c:pt>
                <c:pt idx="218">
                  <c:v>46.22</c:v>
                </c:pt>
                <c:pt idx="219">
                  <c:v>46.64</c:v>
                </c:pt>
                <c:pt idx="220">
                  <c:v>46.21</c:v>
                </c:pt>
                <c:pt idx="221">
                  <c:v>44.68</c:v>
                </c:pt>
                <c:pt idx="222">
                  <c:v>43.45</c:v>
                </c:pt>
                <c:pt idx="223">
                  <c:v>44.58</c:v>
                </c:pt>
                <c:pt idx="224">
                  <c:v>44.33</c:v>
                </c:pt>
                <c:pt idx="225">
                  <c:v>43.77</c:v>
                </c:pt>
                <c:pt idx="226">
                  <c:v>43.65</c:v>
                </c:pt>
                <c:pt idx="227">
                  <c:v>44.75</c:v>
                </c:pt>
                <c:pt idx="228">
                  <c:v>45.98</c:v>
                </c:pt>
                <c:pt idx="229">
                  <c:v>46.03</c:v>
                </c:pt>
                <c:pt idx="230">
                  <c:v>45.29</c:v>
                </c:pt>
                <c:pt idx="231">
                  <c:v>42.52</c:v>
                </c:pt>
                <c:pt idx="232">
                  <c:v>41.67</c:v>
                </c:pt>
                <c:pt idx="233">
                  <c:v>42.76</c:v>
                </c:pt>
                <c:pt idx="234">
                  <c:v>43.18</c:v>
                </c:pt>
                <c:pt idx="235">
                  <c:v>42.72</c:v>
                </c:pt>
                <c:pt idx="236">
                  <c:v>40.880000000000003</c:v>
                </c:pt>
                <c:pt idx="237">
                  <c:v>39.74</c:v>
                </c:pt>
                <c:pt idx="238">
                  <c:v>40.4</c:v>
                </c:pt>
                <c:pt idx="239">
                  <c:v>41.45</c:v>
                </c:pt>
                <c:pt idx="240">
                  <c:v>41.7</c:v>
                </c:pt>
                <c:pt idx="241">
                  <c:v>42.12</c:v>
                </c:pt>
                <c:pt idx="242">
                  <c:v>40.46</c:v>
                </c:pt>
                <c:pt idx="243">
                  <c:v>39.74</c:v>
                </c:pt>
                <c:pt idx="244">
                  <c:v>37.299999999999997</c:v>
                </c:pt>
                <c:pt idx="245">
                  <c:v>37.74</c:v>
                </c:pt>
                <c:pt idx="246">
                  <c:v>34.520000000000003</c:v>
                </c:pt>
                <c:pt idx="247">
                  <c:v>34.299999999999997</c:v>
                </c:pt>
                <c:pt idx="248">
                  <c:v>35.36</c:v>
                </c:pt>
                <c:pt idx="249">
                  <c:v>36.94</c:v>
                </c:pt>
                <c:pt idx="250">
                  <c:v>36.909999999999997</c:v>
                </c:pt>
                <c:pt idx="251">
                  <c:v>36.909999999999997</c:v>
                </c:pt>
                <c:pt idx="252">
                  <c:v>37.99</c:v>
                </c:pt>
                <c:pt idx="253">
                  <c:v>38.14</c:v>
                </c:pt>
                <c:pt idx="254">
                  <c:v>38.28</c:v>
                </c:pt>
                <c:pt idx="255">
                  <c:v>41.45</c:v>
                </c:pt>
                <c:pt idx="256">
                  <c:v>39.909999999999997</c:v>
                </c:pt>
                <c:pt idx="257">
                  <c:v>39.47</c:v>
                </c:pt>
                <c:pt idx="258">
                  <c:v>40.17</c:v>
                </c:pt>
                <c:pt idx="259">
                  <c:v>38.43</c:v>
                </c:pt>
                <c:pt idx="260">
                  <c:v>36.32</c:v>
                </c:pt>
                <c:pt idx="261">
                  <c:v>37.200000000000003</c:v>
                </c:pt>
                <c:pt idx="262">
                  <c:v>38.51</c:v>
                </c:pt>
                <c:pt idx="263">
                  <c:v>37.770000000000003</c:v>
                </c:pt>
                <c:pt idx="264">
                  <c:v>37.619999999999997</c:v>
                </c:pt>
                <c:pt idx="265">
                  <c:v>36.67</c:v>
                </c:pt>
                <c:pt idx="266">
                  <c:v>37.9</c:v>
                </c:pt>
                <c:pt idx="267">
                  <c:v>35.909999999999997</c:v>
                </c:pt>
                <c:pt idx="268">
                  <c:v>34.56</c:v>
                </c:pt>
                <c:pt idx="269">
                  <c:v>34.57</c:v>
                </c:pt>
                <c:pt idx="270">
                  <c:v>34.39</c:v>
                </c:pt>
                <c:pt idx="271">
                  <c:v>32.74</c:v>
                </c:pt>
                <c:pt idx="272">
                  <c:v>31.65</c:v>
                </c:pt>
                <c:pt idx="273">
                  <c:v>31.4</c:v>
                </c:pt>
                <c:pt idx="274">
                  <c:v>30.35</c:v>
                </c:pt>
                <c:pt idx="275">
                  <c:v>31.84</c:v>
                </c:pt>
                <c:pt idx="276">
                  <c:v>31.37</c:v>
                </c:pt>
                <c:pt idx="277">
                  <c:v>29.59</c:v>
                </c:pt>
                <c:pt idx="278">
                  <c:v>30.77</c:v>
                </c:pt>
                <c:pt idx="279">
                  <c:v>30.68</c:v>
                </c:pt>
                <c:pt idx="280">
                  <c:v>29.05</c:v>
                </c:pt>
                <c:pt idx="281">
                  <c:v>29.32</c:v>
                </c:pt>
                <c:pt idx="282">
                  <c:v>26.19</c:v>
                </c:pt>
                <c:pt idx="283">
                  <c:v>27.54</c:v>
                </c:pt>
                <c:pt idx="284">
                  <c:v>27.96</c:v>
                </c:pt>
                <c:pt idx="285">
                  <c:v>29.71</c:v>
                </c:pt>
                <c:pt idx="286">
                  <c:v>30.86</c:v>
                </c:pt>
                <c:pt idx="287">
                  <c:v>31.63</c:v>
                </c:pt>
                <c:pt idx="288">
                  <c:v>32.29</c:v>
                </c:pt>
                <c:pt idx="289">
                  <c:v>29.9</c:v>
                </c:pt>
                <c:pt idx="290">
                  <c:v>31.62</c:v>
                </c:pt>
                <c:pt idx="291">
                  <c:v>33.659999999999997</c:v>
                </c:pt>
                <c:pt idx="292">
                  <c:v>33.21</c:v>
                </c:pt>
                <c:pt idx="293">
                  <c:v>32.32</c:v>
                </c:pt>
                <c:pt idx="294">
                  <c:v>29.54</c:v>
                </c:pt>
                <c:pt idx="295">
                  <c:v>30.31</c:v>
                </c:pt>
                <c:pt idx="296">
                  <c:v>32.07</c:v>
                </c:pt>
                <c:pt idx="297">
                  <c:v>29.55</c:v>
                </c:pt>
                <c:pt idx="298">
                  <c:v>26.68</c:v>
                </c:pt>
                <c:pt idx="299">
                  <c:v>28.47</c:v>
                </c:pt>
                <c:pt idx="300">
                  <c:v>29.45</c:v>
                </c:pt>
                <c:pt idx="301">
                  <c:v>31.22</c:v>
                </c:pt>
                <c:pt idx="302">
                  <c:v>30.42</c:v>
                </c:pt>
                <c:pt idx="303">
                  <c:v>30.42</c:v>
                </c:pt>
                <c:pt idx="304">
                  <c:v>31.42</c:v>
                </c:pt>
                <c:pt idx="305">
                  <c:v>33.200000000000003</c:v>
                </c:pt>
                <c:pt idx="306">
                  <c:v>33.29</c:v>
                </c:pt>
                <c:pt idx="307">
                  <c:v>33.97</c:v>
                </c:pt>
                <c:pt idx="308">
                  <c:v>35.97</c:v>
                </c:pt>
                <c:pt idx="309">
                  <c:v>36.81</c:v>
                </c:pt>
                <c:pt idx="310">
                  <c:v>37.130000000000003</c:v>
                </c:pt>
                <c:pt idx="311">
                  <c:v>36.590000000000003</c:v>
                </c:pt>
                <c:pt idx="312">
                  <c:v>37.880000000000003</c:v>
                </c:pt>
                <c:pt idx="313">
                  <c:v>36.36</c:v>
                </c:pt>
                <c:pt idx="314">
                  <c:v>37.619999999999997</c:v>
                </c:pt>
                <c:pt idx="315">
                  <c:v>36.76</c:v>
                </c:pt>
                <c:pt idx="316">
                  <c:v>36.119999999999997</c:v>
                </c:pt>
                <c:pt idx="317">
                  <c:v>34.549999999999997</c:v>
                </c:pt>
                <c:pt idx="318">
                  <c:v>34.72</c:v>
                </c:pt>
                <c:pt idx="319">
                  <c:v>34.979999999999997</c:v>
                </c:pt>
                <c:pt idx="320">
                  <c:v>35.549999999999997</c:v>
                </c:pt>
                <c:pt idx="321">
                  <c:v>37.32</c:v>
                </c:pt>
                <c:pt idx="322">
                  <c:v>36.31</c:v>
                </c:pt>
                <c:pt idx="323">
                  <c:v>35.65</c:v>
                </c:pt>
                <c:pt idx="324">
                  <c:v>36.76</c:v>
                </c:pt>
                <c:pt idx="325">
                  <c:v>37.159999999999997</c:v>
                </c:pt>
                <c:pt idx="326">
                  <c:v>37.46</c:v>
                </c:pt>
                <c:pt idx="327">
                  <c:v>37.64</c:v>
                </c:pt>
                <c:pt idx="328">
                  <c:v>40</c:v>
                </c:pt>
                <c:pt idx="329">
                  <c:v>41.08</c:v>
                </c:pt>
                <c:pt idx="330">
                  <c:v>39.93</c:v>
                </c:pt>
                <c:pt idx="331">
                  <c:v>40.58</c:v>
                </c:pt>
                <c:pt idx="332">
                  <c:v>40.43</c:v>
                </c:pt>
                <c:pt idx="333">
                  <c:v>40.57</c:v>
                </c:pt>
                <c:pt idx="334">
                  <c:v>41.22</c:v>
                </c:pt>
                <c:pt idx="335">
                  <c:v>40.89</c:v>
                </c:pt>
                <c:pt idx="336">
                  <c:v>39.270000000000003</c:v>
                </c:pt>
                <c:pt idx="337">
                  <c:v>39.39</c:v>
                </c:pt>
                <c:pt idx="338">
                  <c:v>40.549999999999997</c:v>
                </c:pt>
                <c:pt idx="339">
                  <c:v>40.75</c:v>
                </c:pt>
                <c:pt idx="340">
                  <c:v>40.729999999999997</c:v>
                </c:pt>
                <c:pt idx="341">
                  <c:v>41.68</c:v>
                </c:pt>
                <c:pt idx="342">
                  <c:v>40.69</c:v>
                </c:pt>
                <c:pt idx="343">
                  <c:v>41.74</c:v>
                </c:pt>
                <c:pt idx="344">
                  <c:v>42.95</c:v>
                </c:pt>
                <c:pt idx="345">
                  <c:v>44.23</c:v>
                </c:pt>
                <c:pt idx="346">
                  <c:v>43.87</c:v>
                </c:pt>
                <c:pt idx="347">
                  <c:v>44.32</c:v>
                </c:pt>
                <c:pt idx="348">
                  <c:v>45.27</c:v>
                </c:pt>
                <c:pt idx="349">
                  <c:v>46.32</c:v>
                </c:pt>
                <c:pt idx="350">
                  <c:v>47.88</c:v>
                </c:pt>
                <c:pt idx="351">
                  <c:v>46.12</c:v>
                </c:pt>
                <c:pt idx="352">
                  <c:v>46.6</c:v>
                </c:pt>
                <c:pt idx="353">
                  <c:v>46.02</c:v>
                </c:pt>
                <c:pt idx="354">
                  <c:v>45.93</c:v>
                </c:pt>
                <c:pt idx="355">
                  <c:v>43.21</c:v>
                </c:pt>
                <c:pt idx="356">
                  <c:v>43.19</c:v>
                </c:pt>
                <c:pt idx="357">
                  <c:v>43.91</c:v>
                </c:pt>
                <c:pt idx="358">
                  <c:v>44.9</c:v>
                </c:pt>
                <c:pt idx="359">
                  <c:v>45.22</c:v>
                </c:pt>
                <c:pt idx="360">
                  <c:v>45.84</c:v>
                </c:pt>
                <c:pt idx="361">
                  <c:v>45.91</c:v>
                </c:pt>
                <c:pt idx="362">
                  <c:v>47.3</c:v>
                </c:pt>
                <c:pt idx="363">
                  <c:v>46.38</c:v>
                </c:pt>
                <c:pt idx="364">
                  <c:v>46.63</c:v>
                </c:pt>
                <c:pt idx="365">
                  <c:v>46.7</c:v>
                </c:pt>
                <c:pt idx="366">
                  <c:v>47.09</c:v>
                </c:pt>
                <c:pt idx="367">
                  <c:v>49.67</c:v>
                </c:pt>
                <c:pt idx="368">
                  <c:v>49.46</c:v>
                </c:pt>
                <c:pt idx="369">
                  <c:v>47.86</c:v>
                </c:pt>
                <c:pt idx="370">
                  <c:v>48.53</c:v>
                </c:pt>
                <c:pt idx="371">
                  <c:v>46.28</c:v>
                </c:pt>
                <c:pt idx="372">
                  <c:v>45.54</c:v>
                </c:pt>
                <c:pt idx="373">
                  <c:v>44.75</c:v>
                </c:pt>
                <c:pt idx="374">
                  <c:v>45.06</c:v>
                </c:pt>
                <c:pt idx="375">
                  <c:v>45.24</c:v>
                </c:pt>
                <c:pt idx="376">
                  <c:v>44.4</c:v>
                </c:pt>
                <c:pt idx="377">
                  <c:v>45.55</c:v>
                </c:pt>
                <c:pt idx="378">
                  <c:v>44.94</c:v>
                </c:pt>
                <c:pt idx="379">
                  <c:v>44.53</c:v>
                </c:pt>
                <c:pt idx="380">
                  <c:v>46.17</c:v>
                </c:pt>
                <c:pt idx="381">
                  <c:v>46.67</c:v>
                </c:pt>
                <c:pt idx="382">
                  <c:v>44.71</c:v>
                </c:pt>
                <c:pt idx="383">
                  <c:v>46.93</c:v>
                </c:pt>
                <c:pt idx="384">
                  <c:v>47.12</c:v>
                </c:pt>
                <c:pt idx="385">
                  <c:v>44.58</c:v>
                </c:pt>
                <c:pt idx="386">
                  <c:v>44.07</c:v>
                </c:pt>
                <c:pt idx="387">
                  <c:v>44.75</c:v>
                </c:pt>
                <c:pt idx="388">
                  <c:v>45.85</c:v>
                </c:pt>
                <c:pt idx="389">
                  <c:v>44.13</c:v>
                </c:pt>
                <c:pt idx="390">
                  <c:v>45.92</c:v>
                </c:pt>
                <c:pt idx="391">
                  <c:v>46.02</c:v>
                </c:pt>
                <c:pt idx="392">
                  <c:v>46.75</c:v>
                </c:pt>
                <c:pt idx="393">
                  <c:v>46.3</c:v>
                </c:pt>
                <c:pt idx="394">
                  <c:v>45.38</c:v>
                </c:pt>
                <c:pt idx="395">
                  <c:v>49.2</c:v>
                </c:pt>
                <c:pt idx="396">
                  <c:v>45.29</c:v>
                </c:pt>
                <c:pt idx="397">
                  <c:v>42.47</c:v>
                </c:pt>
                <c:pt idx="398">
                  <c:v>38.5</c:v>
                </c:pt>
                <c:pt idx="399">
                  <c:v>39.15</c:v>
                </c:pt>
                <c:pt idx="400">
                  <c:v>38.22</c:v>
                </c:pt>
                <c:pt idx="401">
                  <c:v>40.450000000000003</c:v>
                </c:pt>
                <c:pt idx="402">
                  <c:v>41</c:v>
                </c:pt>
                <c:pt idx="403">
                  <c:v>40.75</c:v>
                </c:pt>
                <c:pt idx="404">
                  <c:v>42.58</c:v>
                </c:pt>
                <c:pt idx="405">
                  <c:v>41.93</c:v>
                </c:pt>
                <c:pt idx="406">
                  <c:v>42.45</c:v>
                </c:pt>
                <c:pt idx="407">
                  <c:v>42.27</c:v>
                </c:pt>
                <c:pt idx="408">
                  <c:v>43.22</c:v>
                </c:pt>
                <c:pt idx="409">
                  <c:v>43.11</c:v>
                </c:pt>
                <c:pt idx="410">
                  <c:v>44.94</c:v>
                </c:pt>
                <c:pt idx="411">
                  <c:v>43.87</c:v>
                </c:pt>
                <c:pt idx="412">
                  <c:v>44.69</c:v>
                </c:pt>
                <c:pt idx="413">
                  <c:v>45.13</c:v>
                </c:pt>
                <c:pt idx="414">
                  <c:v>45.75</c:v>
                </c:pt>
                <c:pt idx="415">
                  <c:v>45.25</c:v>
                </c:pt>
                <c:pt idx="416">
                  <c:v>47.11</c:v>
                </c:pt>
                <c:pt idx="417">
                  <c:v>48.53</c:v>
                </c:pt>
                <c:pt idx="418">
                  <c:v>48.77</c:v>
                </c:pt>
                <c:pt idx="419">
                  <c:v>47.97</c:v>
                </c:pt>
                <c:pt idx="420">
                  <c:v>47.17</c:v>
                </c:pt>
                <c:pt idx="421">
                  <c:v>47.98</c:v>
                </c:pt>
                <c:pt idx="422">
                  <c:v>48.11</c:v>
                </c:pt>
                <c:pt idx="423">
                  <c:v>49.27</c:v>
                </c:pt>
                <c:pt idx="424">
                  <c:v>50.59</c:v>
                </c:pt>
                <c:pt idx="425">
                  <c:v>50.11</c:v>
                </c:pt>
                <c:pt idx="426">
                  <c:v>50.88</c:v>
                </c:pt>
                <c:pt idx="427">
                  <c:v>50.9</c:v>
                </c:pt>
                <c:pt idx="428">
                  <c:v>51.4</c:v>
                </c:pt>
                <c:pt idx="429">
                  <c:v>53.05</c:v>
                </c:pt>
                <c:pt idx="430">
                  <c:v>52.19</c:v>
                </c:pt>
                <c:pt idx="431">
                  <c:v>52.74</c:v>
                </c:pt>
                <c:pt idx="432">
                  <c:v>52.76</c:v>
                </c:pt>
                <c:pt idx="433">
                  <c:v>51.61</c:v>
                </c:pt>
                <c:pt idx="434">
                  <c:v>52.33</c:v>
                </c:pt>
                <c:pt idx="435">
                  <c:v>52.48</c:v>
                </c:pt>
                <c:pt idx="436">
                  <c:v>56.93</c:v>
                </c:pt>
                <c:pt idx="437">
                  <c:v>56.94</c:v>
                </c:pt>
                <c:pt idx="438">
                  <c:v>59.48</c:v>
                </c:pt>
                <c:pt idx="439">
                  <c:v>58.34</c:v>
                </c:pt>
                <c:pt idx="440">
                  <c:v>59.41</c:v>
                </c:pt>
                <c:pt idx="441">
                  <c:v>59.59</c:v>
                </c:pt>
                <c:pt idx="442">
                  <c:v>60.01</c:v>
                </c:pt>
                <c:pt idx="443">
                  <c:v>61.05</c:v>
                </c:pt>
                <c:pt idx="444">
                  <c:v>60.01</c:v>
                </c:pt>
                <c:pt idx="445">
                  <c:v>59.62</c:v>
                </c:pt>
                <c:pt idx="446">
                  <c:v>60.41</c:v>
                </c:pt>
                <c:pt idx="447">
                  <c:v>59.89</c:v>
                </c:pt>
                <c:pt idx="448">
                  <c:v>60.01</c:v>
                </c:pt>
                <c:pt idx="449">
                  <c:v>59.53</c:v>
                </c:pt>
                <c:pt idx="450">
                  <c:v>59.96</c:v>
                </c:pt>
                <c:pt idx="451">
                  <c:v>60.74</c:v>
                </c:pt>
                <c:pt idx="452">
                  <c:v>61.36</c:v>
                </c:pt>
                <c:pt idx="453">
                  <c:v>60.15</c:v>
                </c:pt>
                <c:pt idx="454">
                  <c:v>58.15</c:v>
                </c:pt>
                <c:pt idx="455">
                  <c:v>59.11</c:v>
                </c:pt>
                <c:pt idx="456">
                  <c:v>58</c:v>
                </c:pt>
                <c:pt idx="457">
                  <c:v>59.67</c:v>
                </c:pt>
                <c:pt idx="458">
                  <c:v>61.3</c:v>
                </c:pt>
                <c:pt idx="459">
                  <c:v>60.24</c:v>
                </c:pt>
                <c:pt idx="460">
                  <c:v>60.25</c:v>
                </c:pt>
                <c:pt idx="461">
                  <c:v>57.69</c:v>
                </c:pt>
                <c:pt idx="462">
                  <c:v>57.51</c:v>
                </c:pt>
                <c:pt idx="463">
                  <c:v>57.29</c:v>
                </c:pt>
                <c:pt idx="464">
                  <c:v>58.88</c:v>
                </c:pt>
                <c:pt idx="465">
                  <c:v>60.18</c:v>
                </c:pt>
                <c:pt idx="466">
                  <c:v>58.96</c:v>
                </c:pt>
                <c:pt idx="467">
                  <c:v>57.3</c:v>
                </c:pt>
                <c:pt idx="468">
                  <c:v>59.44</c:v>
                </c:pt>
                <c:pt idx="469">
                  <c:v>59.73</c:v>
                </c:pt>
                <c:pt idx="470">
                  <c:v>59.89</c:v>
                </c:pt>
                <c:pt idx="471">
                  <c:v>60.5</c:v>
                </c:pt>
                <c:pt idx="472">
                  <c:v>60.72</c:v>
                </c:pt>
                <c:pt idx="473">
                  <c:v>59.23</c:v>
                </c:pt>
                <c:pt idx="474">
                  <c:v>59.41</c:v>
                </c:pt>
                <c:pt idx="475">
                  <c:v>58.99</c:v>
                </c:pt>
                <c:pt idx="476">
                  <c:v>60.93</c:v>
                </c:pt>
                <c:pt idx="477">
                  <c:v>60.38</c:v>
                </c:pt>
                <c:pt idx="478">
                  <c:v>58.92</c:v>
                </c:pt>
                <c:pt idx="479">
                  <c:v>59.1</c:v>
                </c:pt>
                <c:pt idx="480">
                  <c:v>59.62</c:v>
                </c:pt>
                <c:pt idx="481">
                  <c:v>58.55</c:v>
                </c:pt>
                <c:pt idx="482">
                  <c:v>57.05</c:v>
                </c:pt>
                <c:pt idx="483">
                  <c:v>55.56</c:v>
                </c:pt>
                <c:pt idx="484">
                  <c:v>55.98</c:v>
                </c:pt>
                <c:pt idx="485">
                  <c:v>56.59</c:v>
                </c:pt>
                <c:pt idx="486">
                  <c:v>56.17</c:v>
                </c:pt>
                <c:pt idx="487">
                  <c:v>55.58</c:v>
                </c:pt>
                <c:pt idx="488">
                  <c:v>56.37</c:v>
                </c:pt>
                <c:pt idx="489">
                  <c:v>55.71</c:v>
                </c:pt>
                <c:pt idx="490">
                  <c:v>56.69</c:v>
                </c:pt>
                <c:pt idx="491">
                  <c:v>56.25</c:v>
                </c:pt>
                <c:pt idx="492">
                  <c:v>53.3</c:v>
                </c:pt>
                <c:pt idx="493">
                  <c:v>51.95</c:v>
                </c:pt>
                <c:pt idx="494">
                  <c:v>51.63</c:v>
                </c:pt>
                <c:pt idx="495">
                  <c:v>50.79</c:v>
                </c:pt>
                <c:pt idx="496">
                  <c:v>50.44</c:v>
                </c:pt>
                <c:pt idx="497">
                  <c:v>53.95</c:v>
                </c:pt>
                <c:pt idx="498">
                  <c:v>52.08</c:v>
                </c:pt>
                <c:pt idx="499">
                  <c:v>49.13</c:v>
                </c:pt>
                <c:pt idx="500">
                  <c:v>50.12</c:v>
                </c:pt>
                <c:pt idx="501">
                  <c:v>47.72</c:v>
                </c:pt>
                <c:pt idx="502">
                  <c:v>48.66</c:v>
                </c:pt>
                <c:pt idx="503">
                  <c:v>48.83</c:v>
                </c:pt>
                <c:pt idx="504">
                  <c:v>51.41</c:v>
                </c:pt>
                <c:pt idx="505">
                  <c:v>48.75</c:v>
                </c:pt>
                <c:pt idx="506">
                  <c:v>47.03</c:v>
                </c:pt>
                <c:pt idx="507">
                  <c:v>47.4</c:v>
                </c:pt>
                <c:pt idx="508">
                  <c:v>46</c:v>
                </c:pt>
                <c:pt idx="509">
                  <c:v>44.02</c:v>
                </c:pt>
                <c:pt idx="510">
                  <c:v>44.63</c:v>
                </c:pt>
                <c:pt idx="511">
                  <c:v>43.39</c:v>
                </c:pt>
                <c:pt idx="512">
                  <c:v>43.93</c:v>
                </c:pt>
                <c:pt idx="513">
                  <c:v>44.88</c:v>
                </c:pt>
                <c:pt idx="514">
                  <c:v>47.12</c:v>
                </c:pt>
                <c:pt idx="515">
                  <c:v>48.06</c:v>
                </c:pt>
                <c:pt idx="516">
                  <c:v>48.42</c:v>
                </c:pt>
                <c:pt idx="517">
                  <c:v>49.95</c:v>
                </c:pt>
                <c:pt idx="518">
                  <c:v>49.61</c:v>
                </c:pt>
                <c:pt idx="519">
                  <c:v>50.76</c:v>
                </c:pt>
                <c:pt idx="520">
                  <c:v>51.53</c:v>
                </c:pt>
                <c:pt idx="521">
                  <c:v>50.43</c:v>
                </c:pt>
                <c:pt idx="522">
                  <c:v>49.59</c:v>
                </c:pt>
                <c:pt idx="523">
                  <c:v>49.84</c:v>
                </c:pt>
                <c:pt idx="524">
                  <c:v>47.65</c:v>
                </c:pt>
                <c:pt idx="525">
                  <c:v>50.25</c:v>
                </c:pt>
                <c:pt idx="526">
                  <c:v>48.48</c:v>
                </c:pt>
                <c:pt idx="527">
                  <c:v>49.56</c:v>
                </c:pt>
                <c:pt idx="528">
                  <c:v>49.95</c:v>
                </c:pt>
                <c:pt idx="529">
                  <c:v>51.12</c:v>
                </c:pt>
                <c:pt idx="530">
                  <c:v>52.13</c:v>
                </c:pt>
                <c:pt idx="531">
                  <c:v>53.56</c:v>
                </c:pt>
                <c:pt idx="532">
                  <c:v>52.66</c:v>
                </c:pt>
                <c:pt idx="533">
                  <c:v>51.17</c:v>
                </c:pt>
                <c:pt idx="534">
                  <c:v>48.8</c:v>
                </c:pt>
                <c:pt idx="535">
                  <c:v>50.06</c:v>
                </c:pt>
                <c:pt idx="536">
                  <c:v>52.99</c:v>
                </c:pt>
                <c:pt idx="537">
                  <c:v>51.66</c:v>
                </c:pt>
                <c:pt idx="538">
                  <c:v>50.48</c:v>
                </c:pt>
                <c:pt idx="539">
                  <c:v>48.45</c:v>
                </c:pt>
                <c:pt idx="540">
                  <c:v>53.04</c:v>
                </c:pt>
                <c:pt idx="541">
                  <c:v>49.25</c:v>
                </c:pt>
                <c:pt idx="542">
                  <c:v>47.79</c:v>
                </c:pt>
                <c:pt idx="543">
                  <c:v>44.12</c:v>
                </c:pt>
                <c:pt idx="544">
                  <c:v>44.08</c:v>
                </c:pt>
                <c:pt idx="545">
                  <c:v>45.84</c:v>
                </c:pt>
                <c:pt idx="546">
                  <c:v>44.8</c:v>
                </c:pt>
                <c:pt idx="547">
                  <c:v>45.26</c:v>
                </c:pt>
                <c:pt idx="548">
                  <c:v>45.93</c:v>
                </c:pt>
                <c:pt idx="549">
                  <c:v>47.85</c:v>
                </c:pt>
                <c:pt idx="550">
                  <c:v>46.79</c:v>
                </c:pt>
                <c:pt idx="551">
                  <c:v>48.49</c:v>
                </c:pt>
                <c:pt idx="552">
                  <c:v>46.37</c:v>
                </c:pt>
                <c:pt idx="553">
                  <c:v>48.49</c:v>
                </c:pt>
                <c:pt idx="554">
                  <c:v>45.92</c:v>
                </c:pt>
                <c:pt idx="555">
                  <c:v>46.06</c:v>
                </c:pt>
                <c:pt idx="556">
                  <c:v>48.35</c:v>
                </c:pt>
                <c:pt idx="557">
                  <c:v>48.8</c:v>
                </c:pt>
                <c:pt idx="558">
                  <c:v>48.69</c:v>
                </c:pt>
                <c:pt idx="559">
                  <c:v>47.98</c:v>
                </c:pt>
                <c:pt idx="560">
                  <c:v>50.05</c:v>
                </c:pt>
                <c:pt idx="561">
                  <c:v>52.72</c:v>
                </c:pt>
                <c:pt idx="562">
                  <c:v>53.45</c:v>
                </c:pt>
                <c:pt idx="563">
                  <c:v>54.14</c:v>
                </c:pt>
                <c:pt idx="564">
                  <c:v>53.46</c:v>
                </c:pt>
                <c:pt idx="565">
                  <c:v>54.59</c:v>
                </c:pt>
                <c:pt idx="566">
                  <c:v>55.7</c:v>
                </c:pt>
                <c:pt idx="567">
                  <c:v>56.78</c:v>
                </c:pt>
                <c:pt idx="568">
                  <c:v>55.25</c:v>
                </c:pt>
                <c:pt idx="569">
                  <c:v>56.91</c:v>
                </c:pt>
                <c:pt idx="570">
                  <c:v>54.18</c:v>
                </c:pt>
                <c:pt idx="571">
                  <c:v>56.43</c:v>
                </c:pt>
                <c:pt idx="572">
                  <c:v>55.97</c:v>
                </c:pt>
                <c:pt idx="573">
                  <c:v>55.96</c:v>
                </c:pt>
                <c:pt idx="574">
                  <c:v>57.81</c:v>
                </c:pt>
                <c:pt idx="575">
                  <c:v>60.01</c:v>
                </c:pt>
                <c:pt idx="576">
                  <c:v>60.99</c:v>
                </c:pt>
                <c:pt idx="577">
                  <c:v>63.74</c:v>
                </c:pt>
                <c:pt idx="578">
                  <c:v>63.13</c:v>
                </c:pt>
                <c:pt idx="579">
                  <c:v>65.89</c:v>
                </c:pt>
                <c:pt idx="580">
                  <c:v>66.73</c:v>
                </c:pt>
                <c:pt idx="581">
                  <c:v>67.3</c:v>
                </c:pt>
                <c:pt idx="582">
                  <c:v>66.989999999999995</c:v>
                </c:pt>
                <c:pt idx="583">
                  <c:v>68.98</c:v>
                </c:pt>
                <c:pt idx="584">
                  <c:v>65.94</c:v>
                </c:pt>
                <c:pt idx="585">
                  <c:v>73.7</c:v>
                </c:pt>
                <c:pt idx="586">
                  <c:v>74.040000000000006</c:v>
                </c:pt>
                <c:pt idx="587">
                  <c:v>75.739999999999995</c:v>
                </c:pt>
                <c:pt idx="588">
                  <c:v>76.52</c:v>
                </c:pt>
                <c:pt idx="589">
                  <c:v>75.63</c:v>
                </c:pt>
                <c:pt idx="590">
                  <c:v>74.55</c:v>
                </c:pt>
                <c:pt idx="591">
                  <c:v>74.55</c:v>
                </c:pt>
                <c:pt idx="592">
                  <c:v>75.64</c:v>
                </c:pt>
                <c:pt idx="593">
                  <c:v>75.91</c:v>
                </c:pt>
                <c:pt idx="594">
                  <c:v>74.13</c:v>
                </c:pt>
                <c:pt idx="595">
                  <c:v>77.16</c:v>
                </c:pt>
                <c:pt idx="596">
                  <c:v>77.849999999999994</c:v>
                </c:pt>
                <c:pt idx="597">
                  <c:v>77.430000000000007</c:v>
                </c:pt>
                <c:pt idx="598">
                  <c:v>78.709999999999994</c:v>
                </c:pt>
                <c:pt idx="599">
                  <c:v>77.87</c:v>
                </c:pt>
                <c:pt idx="600">
                  <c:v>78.709999999999994</c:v>
                </c:pt>
                <c:pt idx="601">
                  <c:v>77.150000000000006</c:v>
                </c:pt>
                <c:pt idx="602">
                  <c:v>78.77</c:v>
                </c:pt>
                <c:pt idx="603">
                  <c:v>80.53</c:v>
                </c:pt>
                <c:pt idx="604">
                  <c:v>81.06</c:v>
                </c:pt>
                <c:pt idx="605">
                  <c:v>82.25</c:v>
                </c:pt>
                <c:pt idx="606">
                  <c:v>81.36</c:v>
                </c:pt>
                <c:pt idx="607">
                  <c:v>81.260000000000005</c:v>
                </c:pt>
                <c:pt idx="608">
                  <c:v>81.27</c:v>
                </c:pt>
                <c:pt idx="609">
                  <c:v>82.81</c:v>
                </c:pt>
                <c:pt idx="610">
                  <c:v>80.52</c:v>
                </c:pt>
                <c:pt idx="611">
                  <c:v>83.25</c:v>
                </c:pt>
                <c:pt idx="612">
                  <c:v>82.76</c:v>
                </c:pt>
                <c:pt idx="613">
                  <c:v>82.8</c:v>
                </c:pt>
                <c:pt idx="614">
                  <c:v>82.33</c:v>
                </c:pt>
                <c:pt idx="615">
                  <c:v>81.819999999999993</c:v>
                </c:pt>
                <c:pt idx="616">
                  <c:v>81.72</c:v>
                </c:pt>
                <c:pt idx="617">
                  <c:v>85.73</c:v>
                </c:pt>
                <c:pt idx="618">
                  <c:v>85.87</c:v>
                </c:pt>
                <c:pt idx="619">
                  <c:v>85.76</c:v>
                </c:pt>
                <c:pt idx="620">
                  <c:v>87.29</c:v>
                </c:pt>
                <c:pt idx="621">
                  <c:v>88.89</c:v>
                </c:pt>
                <c:pt idx="622">
                  <c:v>90.33</c:v>
                </c:pt>
                <c:pt idx="623">
                  <c:v>89.76</c:v>
                </c:pt>
                <c:pt idx="624">
                  <c:v>91.02</c:v>
                </c:pt>
                <c:pt idx="625">
                  <c:v>90.74</c:v>
                </c:pt>
                <c:pt idx="626">
                  <c:v>91.17</c:v>
                </c:pt>
                <c:pt idx="627">
                  <c:v>94.53</c:v>
                </c:pt>
                <c:pt idx="628">
                  <c:v>95.55</c:v>
                </c:pt>
                <c:pt idx="629">
                  <c:v>93.59</c:v>
                </c:pt>
                <c:pt idx="630">
                  <c:v>93.6</c:v>
                </c:pt>
                <c:pt idx="631">
                  <c:v>91.55</c:v>
                </c:pt>
                <c:pt idx="632">
                  <c:v>91.46</c:v>
                </c:pt>
                <c:pt idx="633">
                  <c:v>92.43</c:v>
                </c:pt>
                <c:pt idx="634">
                  <c:v>93.07</c:v>
                </c:pt>
                <c:pt idx="635">
                  <c:v>94.33</c:v>
                </c:pt>
                <c:pt idx="636">
                  <c:v>94.91</c:v>
                </c:pt>
                <c:pt idx="637">
                  <c:v>92.86</c:v>
                </c:pt>
                <c:pt idx="638">
                  <c:v>92.18</c:v>
                </c:pt>
                <c:pt idx="639">
                  <c:v>92.89</c:v>
                </c:pt>
                <c:pt idx="640">
                  <c:v>91.71</c:v>
                </c:pt>
                <c:pt idx="641">
                  <c:v>92.73</c:v>
                </c:pt>
                <c:pt idx="642">
                  <c:v>92.64</c:v>
                </c:pt>
                <c:pt idx="643">
                  <c:v>93.32</c:v>
                </c:pt>
                <c:pt idx="644">
                  <c:v>94.51</c:v>
                </c:pt>
                <c:pt idx="645">
                  <c:v>95.5</c:v>
                </c:pt>
                <c:pt idx="646">
                  <c:v>92.92</c:v>
                </c:pt>
                <c:pt idx="647">
                  <c:v>97.86</c:v>
                </c:pt>
                <c:pt idx="648">
                  <c:v>96.44</c:v>
                </c:pt>
                <c:pt idx="649">
                  <c:v>95.82</c:v>
                </c:pt>
                <c:pt idx="650">
                  <c:v>95.78</c:v>
                </c:pt>
                <c:pt idx="651">
                  <c:v>95.39</c:v>
                </c:pt>
                <c:pt idx="652">
                  <c:v>93.61</c:v>
                </c:pt>
                <c:pt idx="653">
                  <c:v>93.97</c:v>
                </c:pt>
                <c:pt idx="654">
                  <c:v>96.4</c:v>
                </c:pt>
                <c:pt idx="655">
                  <c:v>94.35</c:v>
                </c:pt>
                <c:pt idx="656">
                  <c:v>96.44</c:v>
                </c:pt>
                <c:pt idx="657">
                  <c:v>97.3</c:v>
                </c:pt>
                <c:pt idx="658">
                  <c:v>95.54</c:v>
                </c:pt>
                <c:pt idx="659">
                  <c:v>97.57</c:v>
                </c:pt>
                <c:pt idx="660">
                  <c:v>97.36</c:v>
                </c:pt>
                <c:pt idx="661">
                  <c:v>98.09</c:v>
                </c:pt>
                <c:pt idx="662">
                  <c:v>97.61</c:v>
                </c:pt>
                <c:pt idx="663">
                  <c:v>97.34</c:v>
                </c:pt>
                <c:pt idx="664">
                  <c:v>96.93</c:v>
                </c:pt>
                <c:pt idx="665">
                  <c:v>97.34</c:v>
                </c:pt>
                <c:pt idx="666">
                  <c:v>98.26</c:v>
                </c:pt>
                <c:pt idx="667">
                  <c:v>97.86</c:v>
                </c:pt>
                <c:pt idx="668">
                  <c:v>98.23</c:v>
                </c:pt>
                <c:pt idx="669">
                  <c:v>104.29</c:v>
                </c:pt>
                <c:pt idx="670">
                  <c:v>104.91</c:v>
                </c:pt>
                <c:pt idx="671">
                  <c:v>105.68</c:v>
                </c:pt>
                <c:pt idx="672">
                  <c:v>105.23</c:v>
                </c:pt>
                <c:pt idx="673">
                  <c:v>102.76</c:v>
                </c:pt>
                <c:pt idx="674">
                  <c:v>103.81</c:v>
                </c:pt>
                <c:pt idx="675">
                  <c:v>104.59</c:v>
                </c:pt>
                <c:pt idx="676">
                  <c:v>105.34</c:v>
                </c:pt>
                <c:pt idx="677">
                  <c:v>103.83</c:v>
                </c:pt>
                <c:pt idx="678">
                  <c:v>103.84</c:v>
                </c:pt>
                <c:pt idx="679">
                  <c:v>101.88</c:v>
                </c:pt>
                <c:pt idx="680">
                  <c:v>100.56</c:v>
                </c:pt>
                <c:pt idx="681">
                  <c:v>101.73</c:v>
                </c:pt>
                <c:pt idx="682">
                  <c:v>101.48</c:v>
                </c:pt>
                <c:pt idx="683">
                  <c:v>103.61</c:v>
                </c:pt>
                <c:pt idx="684">
                  <c:v>102.93</c:v>
                </c:pt>
                <c:pt idx="685">
                  <c:v>104.06</c:v>
                </c:pt>
                <c:pt idx="686">
                  <c:v>104.19</c:v>
                </c:pt>
                <c:pt idx="687">
                  <c:v>104.76</c:v>
                </c:pt>
                <c:pt idx="688">
                  <c:v>105.18</c:v>
                </c:pt>
                <c:pt idx="689">
                  <c:v>106.06</c:v>
                </c:pt>
                <c:pt idx="690">
                  <c:v>106.07</c:v>
                </c:pt>
                <c:pt idx="691">
                  <c:v>106.46</c:v>
                </c:pt>
                <c:pt idx="692">
                  <c:v>106.49</c:v>
                </c:pt>
                <c:pt idx="693">
                  <c:v>107.04</c:v>
                </c:pt>
                <c:pt idx="694">
                  <c:v>106.64</c:v>
                </c:pt>
                <c:pt idx="695">
                  <c:v>106.83</c:v>
                </c:pt>
                <c:pt idx="696">
                  <c:v>107.95</c:v>
                </c:pt>
                <c:pt idx="697">
                  <c:v>107.08</c:v>
                </c:pt>
                <c:pt idx="698">
                  <c:v>106.64</c:v>
                </c:pt>
                <c:pt idx="699">
                  <c:v>106.95</c:v>
                </c:pt>
                <c:pt idx="700">
                  <c:v>107.52</c:v>
                </c:pt>
                <c:pt idx="701">
                  <c:v>107.49</c:v>
                </c:pt>
                <c:pt idx="702">
                  <c:v>107.2</c:v>
                </c:pt>
                <c:pt idx="703">
                  <c:v>105.04</c:v>
                </c:pt>
                <c:pt idx="704">
                  <c:v>105.02</c:v>
                </c:pt>
                <c:pt idx="705">
                  <c:v>105.09</c:v>
                </c:pt>
                <c:pt idx="706">
                  <c:v>103.32</c:v>
                </c:pt>
                <c:pt idx="707">
                  <c:v>103.17</c:v>
                </c:pt>
                <c:pt idx="708">
                  <c:v>103.27</c:v>
                </c:pt>
                <c:pt idx="709">
                  <c:v>103.34</c:v>
                </c:pt>
                <c:pt idx="710">
                  <c:v>103.07</c:v>
                </c:pt>
                <c:pt idx="711">
                  <c:v>103.4</c:v>
                </c:pt>
                <c:pt idx="712">
                  <c:v>104.26</c:v>
                </c:pt>
                <c:pt idx="713">
                  <c:v>103.37</c:v>
                </c:pt>
                <c:pt idx="714">
                  <c:v>104.78</c:v>
                </c:pt>
                <c:pt idx="715">
                  <c:v>105.01</c:v>
                </c:pt>
                <c:pt idx="716">
                  <c:v>104.03</c:v>
                </c:pt>
                <c:pt idx="717">
                  <c:v>104.31</c:v>
                </c:pt>
                <c:pt idx="718">
                  <c:v>102.8</c:v>
                </c:pt>
                <c:pt idx="719">
                  <c:v>102.95</c:v>
                </c:pt>
                <c:pt idx="720">
                  <c:v>102.31</c:v>
                </c:pt>
                <c:pt idx="721">
                  <c:v>101.74</c:v>
                </c:pt>
                <c:pt idx="722">
                  <c:v>102.63</c:v>
                </c:pt>
                <c:pt idx="723">
                  <c:v>102.01</c:v>
                </c:pt>
                <c:pt idx="724">
                  <c:v>100.89</c:v>
                </c:pt>
                <c:pt idx="725">
                  <c:v>100.32</c:v>
                </c:pt>
                <c:pt idx="726">
                  <c:v>100.52</c:v>
                </c:pt>
                <c:pt idx="727">
                  <c:v>101.06</c:v>
                </c:pt>
                <c:pt idx="728">
                  <c:v>99.81</c:v>
                </c:pt>
                <c:pt idx="729">
                  <c:v>99.74</c:v>
                </c:pt>
                <c:pt idx="730">
                  <c:v>100.09</c:v>
                </c:pt>
                <c:pt idx="731">
                  <c:v>99.69</c:v>
                </c:pt>
                <c:pt idx="732">
                  <c:v>100.07</c:v>
                </c:pt>
                <c:pt idx="733">
                  <c:v>101.56</c:v>
                </c:pt>
                <c:pt idx="734">
                  <c:v>101.13</c:v>
                </c:pt>
                <c:pt idx="735">
                  <c:v>100.85</c:v>
                </c:pt>
                <c:pt idx="736">
                  <c:v>102.2</c:v>
                </c:pt>
                <c:pt idx="737">
                  <c:v>101.47</c:v>
                </c:pt>
                <c:pt idx="738">
                  <c:v>101.69</c:v>
                </c:pt>
                <c:pt idx="739">
                  <c:v>104.35</c:v>
                </c:pt>
                <c:pt idx="740">
                  <c:v>104.33</c:v>
                </c:pt>
                <c:pt idx="741">
                  <c:v>103.71</c:v>
                </c:pt>
                <c:pt idx="742">
                  <c:v>103.7</c:v>
                </c:pt>
                <c:pt idx="743">
                  <c:v>104.05</c:v>
                </c:pt>
                <c:pt idx="744">
                  <c:v>103.68</c:v>
                </c:pt>
                <c:pt idx="745">
                  <c:v>103.37</c:v>
                </c:pt>
                <c:pt idx="746">
                  <c:v>103.55</c:v>
                </c:pt>
                <c:pt idx="747">
                  <c:v>102.57</c:v>
                </c:pt>
                <c:pt idx="748">
                  <c:v>100.43</c:v>
                </c:pt>
                <c:pt idx="749">
                  <c:v>101.16</c:v>
                </c:pt>
                <c:pt idx="750">
                  <c:v>100.29</c:v>
                </c:pt>
                <c:pt idx="751">
                  <c:v>99.6</c:v>
                </c:pt>
                <c:pt idx="752">
                  <c:v>99.69</c:v>
                </c:pt>
                <c:pt idx="753">
                  <c:v>101.57</c:v>
                </c:pt>
                <c:pt idx="754">
                  <c:v>101.73</c:v>
                </c:pt>
                <c:pt idx="755">
                  <c:v>101.25</c:v>
                </c:pt>
                <c:pt idx="756">
                  <c:v>100.61</c:v>
                </c:pt>
                <c:pt idx="757">
                  <c:v>99.66</c:v>
                </c:pt>
                <c:pt idx="758">
                  <c:v>100.05</c:v>
                </c:pt>
                <c:pt idx="759">
                  <c:v>99.97</c:v>
                </c:pt>
                <c:pt idx="760">
                  <c:v>99.68</c:v>
                </c:pt>
                <c:pt idx="761">
                  <c:v>100.71</c:v>
                </c:pt>
                <c:pt idx="762">
                  <c:v>100.08</c:v>
                </c:pt>
                <c:pt idx="763">
                  <c:v>98.43</c:v>
                </c:pt>
                <c:pt idx="764">
                  <c:v>99.23</c:v>
                </c:pt>
                <c:pt idx="765">
                  <c:v>98.57</c:v>
                </c:pt>
                <c:pt idx="766">
                  <c:v>98.29</c:v>
                </c:pt>
                <c:pt idx="767">
                  <c:v>100.29</c:v>
                </c:pt>
                <c:pt idx="768">
                  <c:v>101.39</c:v>
                </c:pt>
                <c:pt idx="769">
                  <c:v>102.82</c:v>
                </c:pt>
                <c:pt idx="770">
                  <c:v>101.82</c:v>
                </c:pt>
                <c:pt idx="771">
                  <c:v>101.75</c:v>
                </c:pt>
                <c:pt idx="772">
                  <c:v>103.64</c:v>
                </c:pt>
                <c:pt idx="773">
                  <c:v>105.34</c:v>
                </c:pt>
                <c:pt idx="774">
                  <c:v>102.88</c:v>
                </c:pt>
                <c:pt idx="775">
                  <c:v>102.68</c:v>
                </c:pt>
                <c:pt idx="776">
                  <c:v>102.93</c:v>
                </c:pt>
                <c:pt idx="777">
                  <c:v>102.2</c:v>
                </c:pt>
                <c:pt idx="778">
                  <c:v>103.17</c:v>
                </c:pt>
                <c:pt idx="779">
                  <c:v>102.53</c:v>
                </c:pt>
                <c:pt idx="780">
                  <c:v>103.2</c:v>
                </c:pt>
                <c:pt idx="781">
                  <c:v>103.46</c:v>
                </c:pt>
                <c:pt idx="782">
                  <c:v>102.54</c:v>
                </c:pt>
                <c:pt idx="783">
                  <c:v>100.31</c:v>
                </c:pt>
                <c:pt idx="784">
                  <c:v>100.27</c:v>
                </c:pt>
                <c:pt idx="785">
                  <c:v>100.38</c:v>
                </c:pt>
                <c:pt idx="786">
                  <c:v>99.96</c:v>
                </c:pt>
                <c:pt idx="787">
                  <c:v>100.12</c:v>
                </c:pt>
                <c:pt idx="788">
                  <c:v>99.98</c:v>
                </c:pt>
                <c:pt idx="789">
                  <c:v>97.84</c:v>
                </c:pt>
                <c:pt idx="790">
                  <c:v>97.4</c:v>
                </c:pt>
                <c:pt idx="791">
                  <c:v>97.24</c:v>
                </c:pt>
                <c:pt idx="792">
                  <c:v>96.44</c:v>
                </c:pt>
                <c:pt idx="793">
                  <c:v>97.55</c:v>
                </c:pt>
                <c:pt idx="794">
                  <c:v>98.25</c:v>
                </c:pt>
                <c:pt idx="795">
                  <c:v>97.34</c:v>
                </c:pt>
                <c:pt idx="796">
                  <c:v>97.49</c:v>
                </c:pt>
                <c:pt idx="797">
                  <c:v>95.82</c:v>
                </c:pt>
                <c:pt idx="798">
                  <c:v>96.66</c:v>
                </c:pt>
                <c:pt idx="799">
                  <c:v>97.23</c:v>
                </c:pt>
                <c:pt idx="800">
                  <c:v>96.35</c:v>
                </c:pt>
                <c:pt idx="801">
                  <c:v>94.51</c:v>
                </c:pt>
                <c:pt idx="802">
                  <c:v>93.96</c:v>
                </c:pt>
                <c:pt idx="803">
                  <c:v>93.54</c:v>
                </c:pt>
                <c:pt idx="804">
                  <c:v>93.78</c:v>
                </c:pt>
                <c:pt idx="805">
                  <c:v>92.15</c:v>
                </c:pt>
                <c:pt idx="806">
                  <c:v>91.45</c:v>
                </c:pt>
                <c:pt idx="807">
                  <c:v>92.39</c:v>
                </c:pt>
                <c:pt idx="808">
                  <c:v>91.36</c:v>
                </c:pt>
                <c:pt idx="809">
                  <c:v>91.9</c:v>
                </c:pt>
                <c:pt idx="810">
                  <c:v>93.31</c:v>
                </c:pt>
                <c:pt idx="811">
                  <c:v>93.12</c:v>
                </c:pt>
                <c:pt idx="812">
                  <c:v>93.66</c:v>
                </c:pt>
                <c:pt idx="813">
                  <c:v>95.14</c:v>
                </c:pt>
              </c:numCache>
            </c:numRef>
          </c:val>
          <c:smooth val="0"/>
        </c:ser>
        <c:dLbls>
          <c:showLegendKey val="0"/>
          <c:showVal val="0"/>
          <c:showCatName val="0"/>
          <c:showSerName val="0"/>
          <c:showPercent val="0"/>
          <c:showBubbleSize val="0"/>
        </c:dLbls>
        <c:smooth val="0"/>
        <c:axId val="79157000"/>
        <c:axId val="79157392"/>
      </c:lineChart>
      <c:dateAx>
        <c:axId val="79157000"/>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157392"/>
        <c:crosses val="autoZero"/>
        <c:auto val="1"/>
        <c:lblOffset val="100"/>
        <c:baseTimeUnit val="days"/>
      </c:dateAx>
      <c:valAx>
        <c:axId val="79157392"/>
        <c:scaling>
          <c:orientation val="minMax"/>
          <c:max val="110"/>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157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lineChart>
        <c:grouping val="standard"/>
        <c:varyColors val="0"/>
        <c:ser>
          <c:idx val="0"/>
          <c:order val="0"/>
          <c:tx>
            <c:v>Oil Price</c:v>
          </c:tx>
          <c:spPr>
            <a:ln w="28575" cap="rnd">
              <a:solidFill>
                <a:schemeClr val="accent1"/>
              </a:solidFill>
              <a:round/>
            </a:ln>
            <a:effectLst/>
          </c:spPr>
          <c:marker>
            <c:symbol val="none"/>
          </c:marker>
          <c:trendline>
            <c:spPr>
              <a:ln w="19050" cap="rnd">
                <a:solidFill>
                  <a:srgbClr val="C00000"/>
                </a:solidFill>
                <a:prstDash val="solid"/>
              </a:ln>
              <a:effectLst/>
            </c:spPr>
            <c:trendlineType val="linear"/>
            <c:dispRSqr val="0"/>
            <c:dispEq val="0"/>
          </c:trendline>
          <c:cat>
            <c:numRef>
              <c:f>'Oil Price and factors'!$A$5:$A$314</c:f>
              <c:numCache>
                <c:formatCode>yyyy\-mm\-dd</c:formatCode>
                <c:ptCount val="310"/>
                <c:pt idx="0">
                  <c:v>42821</c:v>
                </c:pt>
                <c:pt idx="1">
                  <c:v>42818</c:v>
                </c:pt>
                <c:pt idx="2">
                  <c:v>42817</c:v>
                </c:pt>
                <c:pt idx="3">
                  <c:v>42816</c:v>
                </c:pt>
                <c:pt idx="4">
                  <c:v>42815</c:v>
                </c:pt>
                <c:pt idx="5">
                  <c:v>42814</c:v>
                </c:pt>
                <c:pt idx="6">
                  <c:v>42811</c:v>
                </c:pt>
                <c:pt idx="7">
                  <c:v>42810</c:v>
                </c:pt>
                <c:pt idx="8">
                  <c:v>42809</c:v>
                </c:pt>
                <c:pt idx="9">
                  <c:v>42808</c:v>
                </c:pt>
                <c:pt idx="10">
                  <c:v>42807</c:v>
                </c:pt>
                <c:pt idx="11">
                  <c:v>42804</c:v>
                </c:pt>
                <c:pt idx="12">
                  <c:v>42803</c:v>
                </c:pt>
                <c:pt idx="13">
                  <c:v>42802</c:v>
                </c:pt>
                <c:pt idx="14">
                  <c:v>42801</c:v>
                </c:pt>
                <c:pt idx="15">
                  <c:v>42800</c:v>
                </c:pt>
                <c:pt idx="16">
                  <c:v>42797</c:v>
                </c:pt>
                <c:pt idx="17">
                  <c:v>42796</c:v>
                </c:pt>
                <c:pt idx="18">
                  <c:v>42795</c:v>
                </c:pt>
                <c:pt idx="19">
                  <c:v>42794</c:v>
                </c:pt>
                <c:pt idx="20">
                  <c:v>42793</c:v>
                </c:pt>
                <c:pt idx="21">
                  <c:v>42790</c:v>
                </c:pt>
                <c:pt idx="22">
                  <c:v>42789</c:v>
                </c:pt>
                <c:pt idx="23">
                  <c:v>42788</c:v>
                </c:pt>
                <c:pt idx="24">
                  <c:v>42787</c:v>
                </c:pt>
                <c:pt idx="25">
                  <c:v>42783</c:v>
                </c:pt>
                <c:pt idx="26">
                  <c:v>42782</c:v>
                </c:pt>
                <c:pt idx="27">
                  <c:v>42781</c:v>
                </c:pt>
                <c:pt idx="28">
                  <c:v>42780</c:v>
                </c:pt>
                <c:pt idx="29">
                  <c:v>42779</c:v>
                </c:pt>
                <c:pt idx="30">
                  <c:v>42776</c:v>
                </c:pt>
                <c:pt idx="31">
                  <c:v>42775</c:v>
                </c:pt>
                <c:pt idx="32">
                  <c:v>42774</c:v>
                </c:pt>
                <c:pt idx="33">
                  <c:v>42773</c:v>
                </c:pt>
                <c:pt idx="34">
                  <c:v>42772</c:v>
                </c:pt>
                <c:pt idx="35">
                  <c:v>42769</c:v>
                </c:pt>
                <c:pt idx="36">
                  <c:v>42768</c:v>
                </c:pt>
                <c:pt idx="37">
                  <c:v>42767</c:v>
                </c:pt>
                <c:pt idx="38">
                  <c:v>42766</c:v>
                </c:pt>
                <c:pt idx="39">
                  <c:v>42765</c:v>
                </c:pt>
                <c:pt idx="40">
                  <c:v>42762</c:v>
                </c:pt>
                <c:pt idx="41">
                  <c:v>42761</c:v>
                </c:pt>
                <c:pt idx="42">
                  <c:v>42760</c:v>
                </c:pt>
                <c:pt idx="43">
                  <c:v>42759</c:v>
                </c:pt>
                <c:pt idx="44">
                  <c:v>42758</c:v>
                </c:pt>
                <c:pt idx="45">
                  <c:v>42755</c:v>
                </c:pt>
                <c:pt idx="46">
                  <c:v>42754</c:v>
                </c:pt>
                <c:pt idx="47">
                  <c:v>42753</c:v>
                </c:pt>
                <c:pt idx="48">
                  <c:v>42752</c:v>
                </c:pt>
                <c:pt idx="49">
                  <c:v>42748</c:v>
                </c:pt>
                <c:pt idx="50">
                  <c:v>42747</c:v>
                </c:pt>
                <c:pt idx="51">
                  <c:v>42746</c:v>
                </c:pt>
                <c:pt idx="52">
                  <c:v>42745</c:v>
                </c:pt>
                <c:pt idx="53">
                  <c:v>42744</c:v>
                </c:pt>
                <c:pt idx="54">
                  <c:v>42741</c:v>
                </c:pt>
                <c:pt idx="55">
                  <c:v>42740</c:v>
                </c:pt>
                <c:pt idx="56">
                  <c:v>42739</c:v>
                </c:pt>
                <c:pt idx="57">
                  <c:v>42738</c:v>
                </c:pt>
                <c:pt idx="58">
                  <c:v>42734</c:v>
                </c:pt>
                <c:pt idx="59">
                  <c:v>42733</c:v>
                </c:pt>
                <c:pt idx="60">
                  <c:v>42732</c:v>
                </c:pt>
                <c:pt idx="61">
                  <c:v>42731</c:v>
                </c:pt>
                <c:pt idx="62">
                  <c:v>42727</c:v>
                </c:pt>
                <c:pt idx="63">
                  <c:v>42726</c:v>
                </c:pt>
                <c:pt idx="64">
                  <c:v>42725</c:v>
                </c:pt>
                <c:pt idx="65">
                  <c:v>42724</c:v>
                </c:pt>
                <c:pt idx="66">
                  <c:v>42723</c:v>
                </c:pt>
                <c:pt idx="67">
                  <c:v>42720</c:v>
                </c:pt>
                <c:pt idx="68">
                  <c:v>42719</c:v>
                </c:pt>
                <c:pt idx="69">
                  <c:v>42718</c:v>
                </c:pt>
                <c:pt idx="70">
                  <c:v>42717</c:v>
                </c:pt>
                <c:pt idx="71">
                  <c:v>42716</c:v>
                </c:pt>
                <c:pt idx="72">
                  <c:v>42713</c:v>
                </c:pt>
                <c:pt idx="73">
                  <c:v>42712</c:v>
                </c:pt>
                <c:pt idx="74">
                  <c:v>42711</c:v>
                </c:pt>
                <c:pt idx="75">
                  <c:v>42710</c:v>
                </c:pt>
                <c:pt idx="76">
                  <c:v>42709</c:v>
                </c:pt>
                <c:pt idx="77">
                  <c:v>42706</c:v>
                </c:pt>
                <c:pt idx="78">
                  <c:v>42705</c:v>
                </c:pt>
                <c:pt idx="79">
                  <c:v>42704</c:v>
                </c:pt>
                <c:pt idx="80">
                  <c:v>42703</c:v>
                </c:pt>
                <c:pt idx="81">
                  <c:v>42702</c:v>
                </c:pt>
                <c:pt idx="82">
                  <c:v>42699</c:v>
                </c:pt>
                <c:pt idx="83">
                  <c:v>42697</c:v>
                </c:pt>
                <c:pt idx="84">
                  <c:v>42696</c:v>
                </c:pt>
                <c:pt idx="85">
                  <c:v>42695</c:v>
                </c:pt>
                <c:pt idx="86">
                  <c:v>42692</c:v>
                </c:pt>
                <c:pt idx="87">
                  <c:v>42691</c:v>
                </c:pt>
                <c:pt idx="88">
                  <c:v>42690</c:v>
                </c:pt>
                <c:pt idx="89">
                  <c:v>42689</c:v>
                </c:pt>
                <c:pt idx="90">
                  <c:v>42688</c:v>
                </c:pt>
                <c:pt idx="91">
                  <c:v>42685</c:v>
                </c:pt>
                <c:pt idx="92">
                  <c:v>42684</c:v>
                </c:pt>
                <c:pt idx="93">
                  <c:v>42683</c:v>
                </c:pt>
                <c:pt idx="94">
                  <c:v>42682</c:v>
                </c:pt>
                <c:pt idx="95">
                  <c:v>42681</c:v>
                </c:pt>
                <c:pt idx="96">
                  <c:v>42678</c:v>
                </c:pt>
                <c:pt idx="97">
                  <c:v>42677</c:v>
                </c:pt>
                <c:pt idx="98">
                  <c:v>42676</c:v>
                </c:pt>
                <c:pt idx="99">
                  <c:v>42675</c:v>
                </c:pt>
                <c:pt idx="100">
                  <c:v>42674</c:v>
                </c:pt>
                <c:pt idx="101">
                  <c:v>42671</c:v>
                </c:pt>
                <c:pt idx="102">
                  <c:v>42670</c:v>
                </c:pt>
                <c:pt idx="103">
                  <c:v>42669</c:v>
                </c:pt>
                <c:pt idx="104">
                  <c:v>42668</c:v>
                </c:pt>
                <c:pt idx="105">
                  <c:v>42667</c:v>
                </c:pt>
                <c:pt idx="106">
                  <c:v>42664</c:v>
                </c:pt>
                <c:pt idx="107">
                  <c:v>42663</c:v>
                </c:pt>
                <c:pt idx="108">
                  <c:v>42662</c:v>
                </c:pt>
                <c:pt idx="109">
                  <c:v>42661</c:v>
                </c:pt>
                <c:pt idx="110">
                  <c:v>42660</c:v>
                </c:pt>
                <c:pt idx="111">
                  <c:v>42657</c:v>
                </c:pt>
                <c:pt idx="112">
                  <c:v>42656</c:v>
                </c:pt>
                <c:pt idx="113">
                  <c:v>42655</c:v>
                </c:pt>
                <c:pt idx="114">
                  <c:v>42654</c:v>
                </c:pt>
                <c:pt idx="115">
                  <c:v>42653</c:v>
                </c:pt>
                <c:pt idx="116">
                  <c:v>42650</c:v>
                </c:pt>
                <c:pt idx="117">
                  <c:v>42649</c:v>
                </c:pt>
                <c:pt idx="118">
                  <c:v>42648</c:v>
                </c:pt>
                <c:pt idx="119">
                  <c:v>42647</c:v>
                </c:pt>
                <c:pt idx="120">
                  <c:v>42646</c:v>
                </c:pt>
                <c:pt idx="121">
                  <c:v>42643</c:v>
                </c:pt>
                <c:pt idx="122">
                  <c:v>42642</c:v>
                </c:pt>
                <c:pt idx="123">
                  <c:v>42641</c:v>
                </c:pt>
                <c:pt idx="124">
                  <c:v>42640</c:v>
                </c:pt>
                <c:pt idx="125">
                  <c:v>42639</c:v>
                </c:pt>
                <c:pt idx="126">
                  <c:v>42636</c:v>
                </c:pt>
                <c:pt idx="127">
                  <c:v>42635</c:v>
                </c:pt>
                <c:pt idx="128">
                  <c:v>42634</c:v>
                </c:pt>
                <c:pt idx="129">
                  <c:v>42633</c:v>
                </c:pt>
                <c:pt idx="130">
                  <c:v>42632</c:v>
                </c:pt>
                <c:pt idx="131">
                  <c:v>42629</c:v>
                </c:pt>
                <c:pt idx="132">
                  <c:v>42628</c:v>
                </c:pt>
                <c:pt idx="133">
                  <c:v>42627</c:v>
                </c:pt>
                <c:pt idx="134">
                  <c:v>42626</c:v>
                </c:pt>
                <c:pt idx="135">
                  <c:v>42625</c:v>
                </c:pt>
                <c:pt idx="136">
                  <c:v>42622</c:v>
                </c:pt>
                <c:pt idx="137">
                  <c:v>42621</c:v>
                </c:pt>
                <c:pt idx="138">
                  <c:v>42620</c:v>
                </c:pt>
                <c:pt idx="139">
                  <c:v>42619</c:v>
                </c:pt>
                <c:pt idx="140">
                  <c:v>42615</c:v>
                </c:pt>
                <c:pt idx="141">
                  <c:v>42614</c:v>
                </c:pt>
                <c:pt idx="142">
                  <c:v>42613</c:v>
                </c:pt>
                <c:pt idx="143">
                  <c:v>42612</c:v>
                </c:pt>
                <c:pt idx="144">
                  <c:v>42611</c:v>
                </c:pt>
                <c:pt idx="145">
                  <c:v>42608</c:v>
                </c:pt>
                <c:pt idx="146">
                  <c:v>42607</c:v>
                </c:pt>
                <c:pt idx="147">
                  <c:v>42606</c:v>
                </c:pt>
                <c:pt idx="148">
                  <c:v>42605</c:v>
                </c:pt>
                <c:pt idx="149">
                  <c:v>42604</c:v>
                </c:pt>
                <c:pt idx="150">
                  <c:v>42601</c:v>
                </c:pt>
                <c:pt idx="151">
                  <c:v>42600</c:v>
                </c:pt>
                <c:pt idx="152">
                  <c:v>42599</c:v>
                </c:pt>
                <c:pt idx="153">
                  <c:v>42598</c:v>
                </c:pt>
                <c:pt idx="154">
                  <c:v>42597</c:v>
                </c:pt>
                <c:pt idx="155">
                  <c:v>42594</c:v>
                </c:pt>
                <c:pt idx="156">
                  <c:v>42593</c:v>
                </c:pt>
                <c:pt idx="157">
                  <c:v>42592</c:v>
                </c:pt>
                <c:pt idx="158">
                  <c:v>42591</c:v>
                </c:pt>
                <c:pt idx="159">
                  <c:v>42590</c:v>
                </c:pt>
                <c:pt idx="160">
                  <c:v>42587</c:v>
                </c:pt>
                <c:pt idx="161">
                  <c:v>42586</c:v>
                </c:pt>
                <c:pt idx="162">
                  <c:v>42585</c:v>
                </c:pt>
                <c:pt idx="163">
                  <c:v>42584</c:v>
                </c:pt>
                <c:pt idx="164">
                  <c:v>42583</c:v>
                </c:pt>
                <c:pt idx="165">
                  <c:v>42580</c:v>
                </c:pt>
                <c:pt idx="166">
                  <c:v>42579</c:v>
                </c:pt>
                <c:pt idx="167">
                  <c:v>42578</c:v>
                </c:pt>
                <c:pt idx="168">
                  <c:v>42577</c:v>
                </c:pt>
                <c:pt idx="169">
                  <c:v>42576</c:v>
                </c:pt>
                <c:pt idx="170">
                  <c:v>42573</c:v>
                </c:pt>
                <c:pt idx="171">
                  <c:v>42572</c:v>
                </c:pt>
                <c:pt idx="172">
                  <c:v>42571</c:v>
                </c:pt>
                <c:pt idx="173">
                  <c:v>42570</c:v>
                </c:pt>
                <c:pt idx="174">
                  <c:v>42569</c:v>
                </c:pt>
                <c:pt idx="175">
                  <c:v>42566</c:v>
                </c:pt>
                <c:pt idx="176">
                  <c:v>42565</c:v>
                </c:pt>
                <c:pt idx="177">
                  <c:v>42564</c:v>
                </c:pt>
                <c:pt idx="178">
                  <c:v>42563</c:v>
                </c:pt>
                <c:pt idx="179">
                  <c:v>42562</c:v>
                </c:pt>
                <c:pt idx="180">
                  <c:v>42559</c:v>
                </c:pt>
                <c:pt idx="181">
                  <c:v>42558</c:v>
                </c:pt>
                <c:pt idx="182">
                  <c:v>42557</c:v>
                </c:pt>
                <c:pt idx="183">
                  <c:v>42556</c:v>
                </c:pt>
                <c:pt idx="184">
                  <c:v>42552</c:v>
                </c:pt>
                <c:pt idx="185">
                  <c:v>42551</c:v>
                </c:pt>
                <c:pt idx="186">
                  <c:v>42550</c:v>
                </c:pt>
                <c:pt idx="187">
                  <c:v>42549</c:v>
                </c:pt>
                <c:pt idx="188">
                  <c:v>42548</c:v>
                </c:pt>
                <c:pt idx="189">
                  <c:v>42545</c:v>
                </c:pt>
                <c:pt idx="190">
                  <c:v>42544</c:v>
                </c:pt>
                <c:pt idx="191">
                  <c:v>42543</c:v>
                </c:pt>
                <c:pt idx="192">
                  <c:v>42542</c:v>
                </c:pt>
                <c:pt idx="193">
                  <c:v>42541</c:v>
                </c:pt>
                <c:pt idx="194">
                  <c:v>42538</c:v>
                </c:pt>
                <c:pt idx="195">
                  <c:v>42537</c:v>
                </c:pt>
                <c:pt idx="196">
                  <c:v>42536</c:v>
                </c:pt>
                <c:pt idx="197">
                  <c:v>42535</c:v>
                </c:pt>
                <c:pt idx="198">
                  <c:v>42534</c:v>
                </c:pt>
                <c:pt idx="199">
                  <c:v>42531</c:v>
                </c:pt>
                <c:pt idx="200">
                  <c:v>42530</c:v>
                </c:pt>
                <c:pt idx="201">
                  <c:v>42529</c:v>
                </c:pt>
                <c:pt idx="202">
                  <c:v>42528</c:v>
                </c:pt>
                <c:pt idx="203">
                  <c:v>42527</c:v>
                </c:pt>
                <c:pt idx="204">
                  <c:v>42524</c:v>
                </c:pt>
                <c:pt idx="205">
                  <c:v>42523</c:v>
                </c:pt>
                <c:pt idx="206">
                  <c:v>42522</c:v>
                </c:pt>
                <c:pt idx="207">
                  <c:v>42521</c:v>
                </c:pt>
                <c:pt idx="208">
                  <c:v>42517</c:v>
                </c:pt>
                <c:pt idx="209">
                  <c:v>42516</c:v>
                </c:pt>
                <c:pt idx="210">
                  <c:v>42515</c:v>
                </c:pt>
                <c:pt idx="211">
                  <c:v>42514</c:v>
                </c:pt>
                <c:pt idx="212">
                  <c:v>42513</c:v>
                </c:pt>
                <c:pt idx="213">
                  <c:v>42510</c:v>
                </c:pt>
                <c:pt idx="214">
                  <c:v>42509</c:v>
                </c:pt>
                <c:pt idx="215">
                  <c:v>42508</c:v>
                </c:pt>
                <c:pt idx="216">
                  <c:v>42507</c:v>
                </c:pt>
                <c:pt idx="217">
                  <c:v>42506</c:v>
                </c:pt>
                <c:pt idx="218">
                  <c:v>42503</c:v>
                </c:pt>
                <c:pt idx="219">
                  <c:v>42502</c:v>
                </c:pt>
                <c:pt idx="220">
                  <c:v>42501</c:v>
                </c:pt>
                <c:pt idx="221">
                  <c:v>42500</c:v>
                </c:pt>
                <c:pt idx="222">
                  <c:v>42499</c:v>
                </c:pt>
                <c:pt idx="223">
                  <c:v>42496</c:v>
                </c:pt>
                <c:pt idx="224">
                  <c:v>42495</c:v>
                </c:pt>
                <c:pt idx="225">
                  <c:v>42494</c:v>
                </c:pt>
                <c:pt idx="226">
                  <c:v>42493</c:v>
                </c:pt>
                <c:pt idx="227">
                  <c:v>42492</c:v>
                </c:pt>
                <c:pt idx="228">
                  <c:v>42489</c:v>
                </c:pt>
                <c:pt idx="229">
                  <c:v>42488</c:v>
                </c:pt>
                <c:pt idx="230">
                  <c:v>42487</c:v>
                </c:pt>
                <c:pt idx="231">
                  <c:v>42486</c:v>
                </c:pt>
                <c:pt idx="232">
                  <c:v>42485</c:v>
                </c:pt>
                <c:pt idx="233">
                  <c:v>42482</c:v>
                </c:pt>
                <c:pt idx="234">
                  <c:v>42481</c:v>
                </c:pt>
                <c:pt idx="235">
                  <c:v>42480</c:v>
                </c:pt>
                <c:pt idx="236">
                  <c:v>42479</c:v>
                </c:pt>
                <c:pt idx="237">
                  <c:v>42478</c:v>
                </c:pt>
                <c:pt idx="238">
                  <c:v>42475</c:v>
                </c:pt>
                <c:pt idx="239">
                  <c:v>42474</c:v>
                </c:pt>
                <c:pt idx="240">
                  <c:v>42473</c:v>
                </c:pt>
                <c:pt idx="241">
                  <c:v>42472</c:v>
                </c:pt>
                <c:pt idx="242">
                  <c:v>42471</c:v>
                </c:pt>
                <c:pt idx="243">
                  <c:v>42468</c:v>
                </c:pt>
                <c:pt idx="244">
                  <c:v>42467</c:v>
                </c:pt>
                <c:pt idx="245">
                  <c:v>42466</c:v>
                </c:pt>
                <c:pt idx="246">
                  <c:v>42465</c:v>
                </c:pt>
                <c:pt idx="247">
                  <c:v>42464</c:v>
                </c:pt>
                <c:pt idx="248">
                  <c:v>42461</c:v>
                </c:pt>
                <c:pt idx="249">
                  <c:v>42460</c:v>
                </c:pt>
                <c:pt idx="250">
                  <c:v>42459</c:v>
                </c:pt>
                <c:pt idx="251">
                  <c:v>42458</c:v>
                </c:pt>
                <c:pt idx="252">
                  <c:v>42457</c:v>
                </c:pt>
                <c:pt idx="253">
                  <c:v>42453</c:v>
                </c:pt>
                <c:pt idx="254">
                  <c:v>42452</c:v>
                </c:pt>
                <c:pt idx="255">
                  <c:v>42451</c:v>
                </c:pt>
                <c:pt idx="256">
                  <c:v>42450</c:v>
                </c:pt>
                <c:pt idx="257">
                  <c:v>42447</c:v>
                </c:pt>
                <c:pt idx="258">
                  <c:v>42446</c:v>
                </c:pt>
                <c:pt idx="259">
                  <c:v>42445</c:v>
                </c:pt>
                <c:pt idx="260">
                  <c:v>42444</c:v>
                </c:pt>
                <c:pt idx="261">
                  <c:v>42443</c:v>
                </c:pt>
                <c:pt idx="262">
                  <c:v>42440</c:v>
                </c:pt>
                <c:pt idx="263">
                  <c:v>42439</c:v>
                </c:pt>
                <c:pt idx="264">
                  <c:v>42438</c:v>
                </c:pt>
                <c:pt idx="265">
                  <c:v>42437</c:v>
                </c:pt>
                <c:pt idx="266">
                  <c:v>42436</c:v>
                </c:pt>
                <c:pt idx="267">
                  <c:v>42433</c:v>
                </c:pt>
                <c:pt idx="268">
                  <c:v>42432</c:v>
                </c:pt>
                <c:pt idx="269">
                  <c:v>42431</c:v>
                </c:pt>
                <c:pt idx="270">
                  <c:v>42430</c:v>
                </c:pt>
                <c:pt idx="271">
                  <c:v>42429</c:v>
                </c:pt>
                <c:pt idx="272">
                  <c:v>42426</c:v>
                </c:pt>
                <c:pt idx="273">
                  <c:v>42425</c:v>
                </c:pt>
                <c:pt idx="274">
                  <c:v>42424</c:v>
                </c:pt>
                <c:pt idx="275">
                  <c:v>42423</c:v>
                </c:pt>
                <c:pt idx="276">
                  <c:v>42422</c:v>
                </c:pt>
                <c:pt idx="277">
                  <c:v>42419</c:v>
                </c:pt>
                <c:pt idx="278">
                  <c:v>42418</c:v>
                </c:pt>
                <c:pt idx="279">
                  <c:v>42417</c:v>
                </c:pt>
                <c:pt idx="280">
                  <c:v>42416</c:v>
                </c:pt>
                <c:pt idx="281">
                  <c:v>42412</c:v>
                </c:pt>
                <c:pt idx="282">
                  <c:v>42411</c:v>
                </c:pt>
                <c:pt idx="283">
                  <c:v>42410</c:v>
                </c:pt>
                <c:pt idx="284">
                  <c:v>42409</c:v>
                </c:pt>
                <c:pt idx="285">
                  <c:v>42408</c:v>
                </c:pt>
                <c:pt idx="286">
                  <c:v>42405</c:v>
                </c:pt>
                <c:pt idx="287">
                  <c:v>42404</c:v>
                </c:pt>
                <c:pt idx="288">
                  <c:v>42403</c:v>
                </c:pt>
                <c:pt idx="289">
                  <c:v>42402</c:v>
                </c:pt>
                <c:pt idx="290">
                  <c:v>42401</c:v>
                </c:pt>
                <c:pt idx="291">
                  <c:v>42398</c:v>
                </c:pt>
                <c:pt idx="292">
                  <c:v>42397</c:v>
                </c:pt>
                <c:pt idx="293">
                  <c:v>42396</c:v>
                </c:pt>
                <c:pt idx="294">
                  <c:v>42395</c:v>
                </c:pt>
                <c:pt idx="295">
                  <c:v>42394</c:v>
                </c:pt>
                <c:pt idx="296">
                  <c:v>42391</c:v>
                </c:pt>
                <c:pt idx="297">
                  <c:v>42390</c:v>
                </c:pt>
                <c:pt idx="298">
                  <c:v>42389</c:v>
                </c:pt>
                <c:pt idx="299">
                  <c:v>42388</c:v>
                </c:pt>
                <c:pt idx="300">
                  <c:v>42384</c:v>
                </c:pt>
                <c:pt idx="301">
                  <c:v>42383</c:v>
                </c:pt>
                <c:pt idx="302">
                  <c:v>42382</c:v>
                </c:pt>
                <c:pt idx="303">
                  <c:v>42381</c:v>
                </c:pt>
                <c:pt idx="304">
                  <c:v>42380</c:v>
                </c:pt>
                <c:pt idx="305">
                  <c:v>42377</c:v>
                </c:pt>
                <c:pt idx="306">
                  <c:v>42376</c:v>
                </c:pt>
                <c:pt idx="307">
                  <c:v>42375</c:v>
                </c:pt>
                <c:pt idx="308">
                  <c:v>42374</c:v>
                </c:pt>
                <c:pt idx="309">
                  <c:v>42373</c:v>
                </c:pt>
              </c:numCache>
            </c:numRef>
          </c:cat>
          <c:val>
            <c:numRef>
              <c:f>'Oil Price and factors'!$B$5:$B$314</c:f>
              <c:numCache>
                <c:formatCode>General</c:formatCode>
                <c:ptCount val="310"/>
                <c:pt idx="0">
                  <c:v>47.02</c:v>
                </c:pt>
                <c:pt idx="1">
                  <c:v>47.3</c:v>
                </c:pt>
                <c:pt idx="2">
                  <c:v>47</c:v>
                </c:pt>
                <c:pt idx="3">
                  <c:v>47.29</c:v>
                </c:pt>
                <c:pt idx="4">
                  <c:v>47.02</c:v>
                </c:pt>
                <c:pt idx="5">
                  <c:v>47.79</c:v>
                </c:pt>
                <c:pt idx="6">
                  <c:v>48.34</c:v>
                </c:pt>
                <c:pt idx="7">
                  <c:v>48.3</c:v>
                </c:pt>
                <c:pt idx="8">
                  <c:v>48.34</c:v>
                </c:pt>
                <c:pt idx="9">
                  <c:v>47.24</c:v>
                </c:pt>
                <c:pt idx="10">
                  <c:v>47.95</c:v>
                </c:pt>
                <c:pt idx="11">
                  <c:v>48.05</c:v>
                </c:pt>
                <c:pt idx="12">
                  <c:v>48.75</c:v>
                </c:pt>
                <c:pt idx="13">
                  <c:v>49.83</c:v>
                </c:pt>
                <c:pt idx="14">
                  <c:v>52.68</c:v>
                </c:pt>
                <c:pt idx="15">
                  <c:v>53.19</c:v>
                </c:pt>
                <c:pt idx="16">
                  <c:v>53.33</c:v>
                </c:pt>
                <c:pt idx="17">
                  <c:v>52.63</c:v>
                </c:pt>
                <c:pt idx="18">
                  <c:v>53.82</c:v>
                </c:pt>
                <c:pt idx="19">
                  <c:v>54</c:v>
                </c:pt>
                <c:pt idx="20">
                  <c:v>54.04</c:v>
                </c:pt>
                <c:pt idx="21">
                  <c:v>53.99</c:v>
                </c:pt>
                <c:pt idx="22">
                  <c:v>54.48</c:v>
                </c:pt>
                <c:pt idx="23">
                  <c:v>53.61</c:v>
                </c:pt>
                <c:pt idx="24">
                  <c:v>54.02</c:v>
                </c:pt>
                <c:pt idx="25">
                  <c:v>53.41</c:v>
                </c:pt>
                <c:pt idx="26">
                  <c:v>53.41</c:v>
                </c:pt>
                <c:pt idx="27">
                  <c:v>53.11</c:v>
                </c:pt>
                <c:pt idx="28">
                  <c:v>53.21</c:v>
                </c:pt>
                <c:pt idx="29">
                  <c:v>52.96</c:v>
                </c:pt>
                <c:pt idx="30">
                  <c:v>53.84</c:v>
                </c:pt>
                <c:pt idx="31">
                  <c:v>52.99</c:v>
                </c:pt>
                <c:pt idx="32">
                  <c:v>52.37</c:v>
                </c:pt>
                <c:pt idx="33">
                  <c:v>52.19</c:v>
                </c:pt>
                <c:pt idx="34">
                  <c:v>53.01</c:v>
                </c:pt>
                <c:pt idx="35">
                  <c:v>53.81</c:v>
                </c:pt>
                <c:pt idx="36">
                  <c:v>53.55</c:v>
                </c:pt>
                <c:pt idx="37">
                  <c:v>53.9</c:v>
                </c:pt>
                <c:pt idx="38">
                  <c:v>52.75</c:v>
                </c:pt>
                <c:pt idx="39">
                  <c:v>52.63</c:v>
                </c:pt>
                <c:pt idx="40">
                  <c:v>53.18</c:v>
                </c:pt>
                <c:pt idx="41">
                  <c:v>53.24</c:v>
                </c:pt>
                <c:pt idx="42">
                  <c:v>52.14</c:v>
                </c:pt>
                <c:pt idx="43">
                  <c:v>52.38</c:v>
                </c:pt>
                <c:pt idx="44">
                  <c:v>52.77</c:v>
                </c:pt>
                <c:pt idx="45">
                  <c:v>52.33</c:v>
                </c:pt>
                <c:pt idx="46">
                  <c:v>51.39</c:v>
                </c:pt>
                <c:pt idx="47">
                  <c:v>51.12</c:v>
                </c:pt>
                <c:pt idx="48">
                  <c:v>52.45</c:v>
                </c:pt>
                <c:pt idx="49">
                  <c:v>52.36</c:v>
                </c:pt>
                <c:pt idx="50">
                  <c:v>53.01</c:v>
                </c:pt>
                <c:pt idx="51">
                  <c:v>52.19</c:v>
                </c:pt>
                <c:pt idx="52">
                  <c:v>50.82</c:v>
                </c:pt>
                <c:pt idx="53">
                  <c:v>51.95</c:v>
                </c:pt>
                <c:pt idx="54">
                  <c:v>53.98</c:v>
                </c:pt>
                <c:pt idx="55">
                  <c:v>53.77</c:v>
                </c:pt>
                <c:pt idx="56">
                  <c:v>53.26</c:v>
                </c:pt>
                <c:pt idx="57">
                  <c:v>52.36</c:v>
                </c:pt>
                <c:pt idx="58">
                  <c:v>53.75</c:v>
                </c:pt>
                <c:pt idx="59">
                  <c:v>53.8</c:v>
                </c:pt>
                <c:pt idx="60">
                  <c:v>54.01</c:v>
                </c:pt>
                <c:pt idx="61">
                  <c:v>52.82</c:v>
                </c:pt>
                <c:pt idx="62">
                  <c:v>52.01</c:v>
                </c:pt>
                <c:pt idx="63">
                  <c:v>51.98</c:v>
                </c:pt>
                <c:pt idx="64">
                  <c:v>51.44</c:v>
                </c:pt>
                <c:pt idx="65">
                  <c:v>52.22</c:v>
                </c:pt>
                <c:pt idx="66">
                  <c:v>52.13</c:v>
                </c:pt>
                <c:pt idx="67">
                  <c:v>51.93</c:v>
                </c:pt>
                <c:pt idx="68">
                  <c:v>50.9</c:v>
                </c:pt>
                <c:pt idx="69">
                  <c:v>51.01</c:v>
                </c:pt>
                <c:pt idx="70">
                  <c:v>52.99</c:v>
                </c:pt>
                <c:pt idx="71">
                  <c:v>52.74</c:v>
                </c:pt>
                <c:pt idx="72">
                  <c:v>51.51</c:v>
                </c:pt>
                <c:pt idx="73">
                  <c:v>50.84</c:v>
                </c:pt>
                <c:pt idx="74">
                  <c:v>49.85</c:v>
                </c:pt>
                <c:pt idx="75">
                  <c:v>50.95</c:v>
                </c:pt>
                <c:pt idx="76">
                  <c:v>51.72</c:v>
                </c:pt>
                <c:pt idx="77">
                  <c:v>51.7</c:v>
                </c:pt>
                <c:pt idx="78">
                  <c:v>51.08</c:v>
                </c:pt>
                <c:pt idx="79">
                  <c:v>49.41</c:v>
                </c:pt>
                <c:pt idx="80">
                  <c:v>45.29</c:v>
                </c:pt>
                <c:pt idx="81">
                  <c:v>45.66</c:v>
                </c:pt>
                <c:pt idx="82">
                  <c:v>46.72</c:v>
                </c:pt>
                <c:pt idx="83">
                  <c:v>46.72</c:v>
                </c:pt>
                <c:pt idx="84">
                  <c:v>48.07</c:v>
                </c:pt>
                <c:pt idx="85">
                  <c:v>47.48</c:v>
                </c:pt>
                <c:pt idx="86">
                  <c:v>45.69</c:v>
                </c:pt>
                <c:pt idx="87">
                  <c:v>45.37</c:v>
                </c:pt>
                <c:pt idx="88">
                  <c:v>45.56</c:v>
                </c:pt>
                <c:pt idx="89">
                  <c:v>45.86</c:v>
                </c:pt>
                <c:pt idx="90">
                  <c:v>43.29</c:v>
                </c:pt>
                <c:pt idx="91">
                  <c:v>43.39</c:v>
                </c:pt>
                <c:pt idx="92">
                  <c:v>44.62</c:v>
                </c:pt>
                <c:pt idx="93">
                  <c:v>45.2</c:v>
                </c:pt>
                <c:pt idx="94">
                  <c:v>44.96</c:v>
                </c:pt>
                <c:pt idx="95">
                  <c:v>44.88</c:v>
                </c:pt>
                <c:pt idx="96">
                  <c:v>44.07</c:v>
                </c:pt>
                <c:pt idx="97">
                  <c:v>44.66</c:v>
                </c:pt>
                <c:pt idx="98">
                  <c:v>45.32</c:v>
                </c:pt>
                <c:pt idx="99">
                  <c:v>46.66</c:v>
                </c:pt>
                <c:pt idx="100">
                  <c:v>46.83</c:v>
                </c:pt>
                <c:pt idx="101">
                  <c:v>48.72</c:v>
                </c:pt>
                <c:pt idx="102">
                  <c:v>49.71</c:v>
                </c:pt>
                <c:pt idx="103">
                  <c:v>48.75</c:v>
                </c:pt>
                <c:pt idx="104">
                  <c:v>49.45</c:v>
                </c:pt>
                <c:pt idx="105">
                  <c:v>50.18</c:v>
                </c:pt>
                <c:pt idx="106">
                  <c:v>50.61</c:v>
                </c:pt>
                <c:pt idx="107">
                  <c:v>50.31</c:v>
                </c:pt>
                <c:pt idx="108">
                  <c:v>51.59</c:v>
                </c:pt>
                <c:pt idx="109">
                  <c:v>50.3</c:v>
                </c:pt>
                <c:pt idx="110">
                  <c:v>49.97</c:v>
                </c:pt>
                <c:pt idx="111">
                  <c:v>50.35</c:v>
                </c:pt>
                <c:pt idx="112">
                  <c:v>50.47</c:v>
                </c:pt>
                <c:pt idx="113">
                  <c:v>50.14</c:v>
                </c:pt>
                <c:pt idx="114">
                  <c:v>50.72</c:v>
                </c:pt>
                <c:pt idx="115">
                  <c:v>49.76</c:v>
                </c:pt>
                <c:pt idx="116">
                  <c:v>49.76</c:v>
                </c:pt>
                <c:pt idx="117">
                  <c:v>50.44</c:v>
                </c:pt>
                <c:pt idx="118">
                  <c:v>49.75</c:v>
                </c:pt>
                <c:pt idx="119">
                  <c:v>48.67</c:v>
                </c:pt>
                <c:pt idx="120">
                  <c:v>48.8</c:v>
                </c:pt>
                <c:pt idx="121">
                  <c:v>47.72</c:v>
                </c:pt>
                <c:pt idx="122">
                  <c:v>47.72</c:v>
                </c:pt>
                <c:pt idx="123">
                  <c:v>47.07</c:v>
                </c:pt>
                <c:pt idx="124">
                  <c:v>44.65</c:v>
                </c:pt>
                <c:pt idx="125">
                  <c:v>45.6</c:v>
                </c:pt>
                <c:pt idx="126">
                  <c:v>44.36</c:v>
                </c:pt>
                <c:pt idx="127">
                  <c:v>46.1</c:v>
                </c:pt>
                <c:pt idx="128">
                  <c:v>45.33</c:v>
                </c:pt>
                <c:pt idx="129">
                  <c:v>43.85</c:v>
                </c:pt>
                <c:pt idx="130">
                  <c:v>43.34</c:v>
                </c:pt>
                <c:pt idx="131">
                  <c:v>43.04</c:v>
                </c:pt>
                <c:pt idx="132">
                  <c:v>43.85</c:v>
                </c:pt>
                <c:pt idx="133">
                  <c:v>43.62</c:v>
                </c:pt>
                <c:pt idx="134">
                  <c:v>44.91</c:v>
                </c:pt>
                <c:pt idx="135">
                  <c:v>46.28</c:v>
                </c:pt>
                <c:pt idx="136">
                  <c:v>45.88</c:v>
                </c:pt>
                <c:pt idx="137">
                  <c:v>47.63</c:v>
                </c:pt>
                <c:pt idx="138">
                  <c:v>45.47</c:v>
                </c:pt>
                <c:pt idx="139">
                  <c:v>44.85</c:v>
                </c:pt>
                <c:pt idx="140">
                  <c:v>44.39</c:v>
                </c:pt>
                <c:pt idx="141">
                  <c:v>43.17</c:v>
                </c:pt>
                <c:pt idx="142">
                  <c:v>44.68</c:v>
                </c:pt>
                <c:pt idx="143">
                  <c:v>46.32</c:v>
                </c:pt>
                <c:pt idx="144">
                  <c:v>46.97</c:v>
                </c:pt>
                <c:pt idx="145">
                  <c:v>47.64</c:v>
                </c:pt>
                <c:pt idx="146">
                  <c:v>46.97</c:v>
                </c:pt>
                <c:pt idx="147">
                  <c:v>46.29</c:v>
                </c:pt>
                <c:pt idx="148">
                  <c:v>47.54</c:v>
                </c:pt>
                <c:pt idx="149">
                  <c:v>46.8</c:v>
                </c:pt>
                <c:pt idx="150">
                  <c:v>48.48</c:v>
                </c:pt>
                <c:pt idx="151">
                  <c:v>48.2</c:v>
                </c:pt>
                <c:pt idx="152">
                  <c:v>46.81</c:v>
                </c:pt>
                <c:pt idx="153">
                  <c:v>46.57</c:v>
                </c:pt>
                <c:pt idx="154">
                  <c:v>45.72</c:v>
                </c:pt>
                <c:pt idx="155">
                  <c:v>44.47</c:v>
                </c:pt>
                <c:pt idx="156">
                  <c:v>43.51</c:v>
                </c:pt>
                <c:pt idx="157">
                  <c:v>41.75</c:v>
                </c:pt>
                <c:pt idx="158">
                  <c:v>42.78</c:v>
                </c:pt>
                <c:pt idx="159">
                  <c:v>43.06</c:v>
                </c:pt>
                <c:pt idx="160">
                  <c:v>41.83</c:v>
                </c:pt>
                <c:pt idx="161">
                  <c:v>41.92</c:v>
                </c:pt>
                <c:pt idx="162">
                  <c:v>40.799999999999997</c:v>
                </c:pt>
                <c:pt idx="163">
                  <c:v>39.5</c:v>
                </c:pt>
                <c:pt idx="164">
                  <c:v>40.049999999999997</c:v>
                </c:pt>
                <c:pt idx="165">
                  <c:v>41.54</c:v>
                </c:pt>
                <c:pt idx="166">
                  <c:v>41.13</c:v>
                </c:pt>
                <c:pt idx="167">
                  <c:v>41.9</c:v>
                </c:pt>
                <c:pt idx="168">
                  <c:v>42.16</c:v>
                </c:pt>
                <c:pt idx="169">
                  <c:v>42.4</c:v>
                </c:pt>
                <c:pt idx="170">
                  <c:v>43.41</c:v>
                </c:pt>
                <c:pt idx="171">
                  <c:v>43.96</c:v>
                </c:pt>
                <c:pt idx="172">
                  <c:v>44.96</c:v>
                </c:pt>
                <c:pt idx="173">
                  <c:v>44.64</c:v>
                </c:pt>
                <c:pt idx="174">
                  <c:v>45.23</c:v>
                </c:pt>
                <c:pt idx="175">
                  <c:v>45.93</c:v>
                </c:pt>
                <c:pt idx="176">
                  <c:v>45.64</c:v>
                </c:pt>
                <c:pt idx="177">
                  <c:v>44.87</c:v>
                </c:pt>
                <c:pt idx="178">
                  <c:v>46.82</c:v>
                </c:pt>
                <c:pt idx="179">
                  <c:v>44.73</c:v>
                </c:pt>
                <c:pt idx="180">
                  <c:v>45.37</c:v>
                </c:pt>
                <c:pt idx="181">
                  <c:v>45.22</c:v>
                </c:pt>
                <c:pt idx="182">
                  <c:v>47.37</c:v>
                </c:pt>
                <c:pt idx="183">
                  <c:v>46.73</c:v>
                </c:pt>
                <c:pt idx="184">
                  <c:v>49.02</c:v>
                </c:pt>
                <c:pt idx="185">
                  <c:v>48.27</c:v>
                </c:pt>
                <c:pt idx="186">
                  <c:v>49.85</c:v>
                </c:pt>
                <c:pt idx="187">
                  <c:v>47.93</c:v>
                </c:pt>
                <c:pt idx="188">
                  <c:v>45.8</c:v>
                </c:pt>
                <c:pt idx="189">
                  <c:v>46.7</c:v>
                </c:pt>
                <c:pt idx="190">
                  <c:v>49.34</c:v>
                </c:pt>
                <c:pt idx="191">
                  <c:v>49.16</c:v>
                </c:pt>
                <c:pt idx="192">
                  <c:v>48.95</c:v>
                </c:pt>
                <c:pt idx="193">
                  <c:v>49.4</c:v>
                </c:pt>
                <c:pt idx="194">
                  <c:v>48</c:v>
                </c:pt>
                <c:pt idx="195">
                  <c:v>46.14</c:v>
                </c:pt>
                <c:pt idx="196">
                  <c:v>47.92</c:v>
                </c:pt>
                <c:pt idx="197">
                  <c:v>48.49</c:v>
                </c:pt>
                <c:pt idx="198">
                  <c:v>48.89</c:v>
                </c:pt>
                <c:pt idx="199">
                  <c:v>49.09</c:v>
                </c:pt>
                <c:pt idx="200">
                  <c:v>50.52</c:v>
                </c:pt>
                <c:pt idx="201">
                  <c:v>51.23</c:v>
                </c:pt>
                <c:pt idx="202">
                  <c:v>50.37</c:v>
                </c:pt>
                <c:pt idx="203">
                  <c:v>49.71</c:v>
                </c:pt>
                <c:pt idx="204">
                  <c:v>48.69</c:v>
                </c:pt>
                <c:pt idx="205">
                  <c:v>49.14</c:v>
                </c:pt>
                <c:pt idx="206">
                  <c:v>49.07</c:v>
                </c:pt>
                <c:pt idx="207">
                  <c:v>49.1</c:v>
                </c:pt>
                <c:pt idx="208">
                  <c:v>49.36</c:v>
                </c:pt>
                <c:pt idx="209">
                  <c:v>49</c:v>
                </c:pt>
                <c:pt idx="210">
                  <c:v>49.1</c:v>
                </c:pt>
                <c:pt idx="211">
                  <c:v>48.04</c:v>
                </c:pt>
                <c:pt idx="212">
                  <c:v>48.12</c:v>
                </c:pt>
                <c:pt idx="213">
                  <c:v>47.67</c:v>
                </c:pt>
                <c:pt idx="214">
                  <c:v>48.16</c:v>
                </c:pt>
                <c:pt idx="215">
                  <c:v>48.12</c:v>
                </c:pt>
                <c:pt idx="216">
                  <c:v>48.29</c:v>
                </c:pt>
                <c:pt idx="217">
                  <c:v>47.72</c:v>
                </c:pt>
                <c:pt idx="218">
                  <c:v>46.22</c:v>
                </c:pt>
                <c:pt idx="219">
                  <c:v>46.64</c:v>
                </c:pt>
                <c:pt idx="220">
                  <c:v>46.21</c:v>
                </c:pt>
                <c:pt idx="221">
                  <c:v>44.68</c:v>
                </c:pt>
                <c:pt idx="222">
                  <c:v>43.45</c:v>
                </c:pt>
                <c:pt idx="223">
                  <c:v>44.58</c:v>
                </c:pt>
                <c:pt idx="224">
                  <c:v>44.33</c:v>
                </c:pt>
                <c:pt idx="225">
                  <c:v>43.77</c:v>
                </c:pt>
                <c:pt idx="226">
                  <c:v>43.65</c:v>
                </c:pt>
                <c:pt idx="227">
                  <c:v>44.75</c:v>
                </c:pt>
                <c:pt idx="228">
                  <c:v>45.98</c:v>
                </c:pt>
                <c:pt idx="229">
                  <c:v>46.03</c:v>
                </c:pt>
                <c:pt idx="230">
                  <c:v>45.29</c:v>
                </c:pt>
                <c:pt idx="231">
                  <c:v>42.52</c:v>
                </c:pt>
                <c:pt idx="232">
                  <c:v>41.67</c:v>
                </c:pt>
                <c:pt idx="233">
                  <c:v>42.76</c:v>
                </c:pt>
                <c:pt idx="234">
                  <c:v>43.18</c:v>
                </c:pt>
                <c:pt idx="235">
                  <c:v>42.72</c:v>
                </c:pt>
                <c:pt idx="236">
                  <c:v>40.880000000000003</c:v>
                </c:pt>
                <c:pt idx="237">
                  <c:v>39.74</c:v>
                </c:pt>
                <c:pt idx="238">
                  <c:v>40.4</c:v>
                </c:pt>
                <c:pt idx="239">
                  <c:v>41.45</c:v>
                </c:pt>
                <c:pt idx="240">
                  <c:v>41.7</c:v>
                </c:pt>
                <c:pt idx="241">
                  <c:v>42.12</c:v>
                </c:pt>
                <c:pt idx="242">
                  <c:v>40.46</c:v>
                </c:pt>
                <c:pt idx="243">
                  <c:v>39.74</c:v>
                </c:pt>
                <c:pt idx="244">
                  <c:v>37.299999999999997</c:v>
                </c:pt>
                <c:pt idx="245">
                  <c:v>37.74</c:v>
                </c:pt>
                <c:pt idx="246">
                  <c:v>34.520000000000003</c:v>
                </c:pt>
                <c:pt idx="247">
                  <c:v>34.299999999999997</c:v>
                </c:pt>
                <c:pt idx="248">
                  <c:v>35.36</c:v>
                </c:pt>
                <c:pt idx="249">
                  <c:v>36.94</c:v>
                </c:pt>
                <c:pt idx="250">
                  <c:v>36.909999999999997</c:v>
                </c:pt>
                <c:pt idx="251">
                  <c:v>36.909999999999997</c:v>
                </c:pt>
                <c:pt idx="252">
                  <c:v>37.99</c:v>
                </c:pt>
                <c:pt idx="253">
                  <c:v>38.14</c:v>
                </c:pt>
                <c:pt idx="254">
                  <c:v>38.28</c:v>
                </c:pt>
                <c:pt idx="255">
                  <c:v>41.45</c:v>
                </c:pt>
                <c:pt idx="256">
                  <c:v>39.909999999999997</c:v>
                </c:pt>
                <c:pt idx="257">
                  <c:v>39.47</c:v>
                </c:pt>
                <c:pt idx="258">
                  <c:v>40.17</c:v>
                </c:pt>
                <c:pt idx="259">
                  <c:v>38.43</c:v>
                </c:pt>
                <c:pt idx="260">
                  <c:v>36.32</c:v>
                </c:pt>
                <c:pt idx="261">
                  <c:v>37.200000000000003</c:v>
                </c:pt>
                <c:pt idx="262">
                  <c:v>38.51</c:v>
                </c:pt>
                <c:pt idx="263">
                  <c:v>37.770000000000003</c:v>
                </c:pt>
                <c:pt idx="264">
                  <c:v>37.619999999999997</c:v>
                </c:pt>
                <c:pt idx="265">
                  <c:v>36.67</c:v>
                </c:pt>
                <c:pt idx="266">
                  <c:v>37.9</c:v>
                </c:pt>
                <c:pt idx="267">
                  <c:v>35.909999999999997</c:v>
                </c:pt>
                <c:pt idx="268">
                  <c:v>34.56</c:v>
                </c:pt>
                <c:pt idx="269">
                  <c:v>34.57</c:v>
                </c:pt>
                <c:pt idx="270">
                  <c:v>34.39</c:v>
                </c:pt>
                <c:pt idx="271">
                  <c:v>32.74</c:v>
                </c:pt>
                <c:pt idx="272">
                  <c:v>31.65</c:v>
                </c:pt>
                <c:pt idx="273">
                  <c:v>31.4</c:v>
                </c:pt>
                <c:pt idx="274">
                  <c:v>30.35</c:v>
                </c:pt>
                <c:pt idx="275">
                  <c:v>31.84</c:v>
                </c:pt>
                <c:pt idx="276">
                  <c:v>31.37</c:v>
                </c:pt>
                <c:pt idx="277">
                  <c:v>29.59</c:v>
                </c:pt>
                <c:pt idx="278">
                  <c:v>30.77</c:v>
                </c:pt>
                <c:pt idx="279">
                  <c:v>30.68</c:v>
                </c:pt>
                <c:pt idx="280">
                  <c:v>29.05</c:v>
                </c:pt>
                <c:pt idx="281">
                  <c:v>29.32</c:v>
                </c:pt>
                <c:pt idx="282">
                  <c:v>26.19</c:v>
                </c:pt>
                <c:pt idx="283">
                  <c:v>27.54</c:v>
                </c:pt>
                <c:pt idx="284">
                  <c:v>27.96</c:v>
                </c:pt>
                <c:pt idx="285">
                  <c:v>29.71</c:v>
                </c:pt>
                <c:pt idx="286">
                  <c:v>30.86</c:v>
                </c:pt>
                <c:pt idx="287">
                  <c:v>31.63</c:v>
                </c:pt>
                <c:pt idx="288">
                  <c:v>32.29</c:v>
                </c:pt>
                <c:pt idx="289">
                  <c:v>29.9</c:v>
                </c:pt>
                <c:pt idx="290">
                  <c:v>31.62</c:v>
                </c:pt>
                <c:pt idx="291">
                  <c:v>33.659999999999997</c:v>
                </c:pt>
                <c:pt idx="292">
                  <c:v>33.21</c:v>
                </c:pt>
                <c:pt idx="293">
                  <c:v>32.32</c:v>
                </c:pt>
                <c:pt idx="294">
                  <c:v>29.54</c:v>
                </c:pt>
                <c:pt idx="295">
                  <c:v>30.31</c:v>
                </c:pt>
                <c:pt idx="296">
                  <c:v>32.07</c:v>
                </c:pt>
                <c:pt idx="297">
                  <c:v>29.55</c:v>
                </c:pt>
                <c:pt idx="298">
                  <c:v>26.68</c:v>
                </c:pt>
                <c:pt idx="299">
                  <c:v>28.47</c:v>
                </c:pt>
                <c:pt idx="300">
                  <c:v>29.45</c:v>
                </c:pt>
                <c:pt idx="301">
                  <c:v>31.22</c:v>
                </c:pt>
                <c:pt idx="302">
                  <c:v>30.42</c:v>
                </c:pt>
                <c:pt idx="303">
                  <c:v>30.42</c:v>
                </c:pt>
                <c:pt idx="304">
                  <c:v>31.42</c:v>
                </c:pt>
                <c:pt idx="305">
                  <c:v>33.200000000000003</c:v>
                </c:pt>
                <c:pt idx="306">
                  <c:v>33.29</c:v>
                </c:pt>
                <c:pt idx="307">
                  <c:v>33.97</c:v>
                </c:pt>
                <c:pt idx="308">
                  <c:v>35.97</c:v>
                </c:pt>
                <c:pt idx="309">
                  <c:v>36.81</c:v>
                </c:pt>
              </c:numCache>
            </c:numRef>
          </c:val>
          <c:smooth val="0"/>
        </c:ser>
        <c:dLbls>
          <c:showLegendKey val="0"/>
          <c:showVal val="0"/>
          <c:showCatName val="0"/>
          <c:showSerName val="0"/>
          <c:showPercent val="0"/>
          <c:showBubbleSize val="0"/>
        </c:dLbls>
        <c:smooth val="0"/>
        <c:axId val="79159744"/>
        <c:axId val="79158960"/>
      </c:lineChart>
      <c:dateAx>
        <c:axId val="79159744"/>
        <c:scaling>
          <c:orientation val="minMax"/>
        </c:scaling>
        <c:delete val="0"/>
        <c:axPos val="b"/>
        <c:numFmt formatCode="yyyy\-mm\-dd"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158960"/>
        <c:crosses val="autoZero"/>
        <c:auto val="1"/>
        <c:lblOffset val="100"/>
        <c:baseTimeUnit val="days"/>
      </c:dateAx>
      <c:valAx>
        <c:axId val="791589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1597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manualLayout>
          <c:layoutTarget val="inner"/>
          <c:xMode val="edge"/>
          <c:yMode val="edge"/>
          <c:x val="7.2799191672794888E-2"/>
          <c:y val="0.17404342854492302"/>
          <c:w val="0.89379154484960455"/>
          <c:h val="0.66872719848156226"/>
        </c:manualLayout>
      </c:layout>
      <c:lineChart>
        <c:grouping val="standard"/>
        <c:varyColors val="0"/>
        <c:ser>
          <c:idx val="0"/>
          <c:order val="0"/>
          <c:tx>
            <c:v> Price</c:v>
          </c:tx>
          <c:spPr>
            <a:ln w="28575" cap="rnd">
              <a:solidFill>
                <a:schemeClr val="accent1"/>
              </a:solidFill>
              <a:round/>
            </a:ln>
            <a:effectLst/>
          </c:spPr>
          <c:marker>
            <c:symbol val="none"/>
          </c:marker>
          <c:trendline>
            <c:spPr>
              <a:ln w="19050" cap="rnd">
                <a:solidFill>
                  <a:srgbClr val="C00000"/>
                </a:solidFill>
                <a:prstDash val="sysDot"/>
              </a:ln>
              <a:effectLst/>
            </c:spPr>
            <c:trendlineType val="linear"/>
            <c:dispRSqr val="0"/>
            <c:dispEq val="1"/>
            <c:trendlineLbl>
              <c:layout>
                <c:manualLayout>
                  <c:x val="1.1833145002660545E-3"/>
                  <c:y val="-0.1056673460098973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trendlineLbl>
          </c:trendline>
          <c:val>
            <c:numRef>
              <c:f>'Oil price forecasting'!$R$2:$R$311</c:f>
              <c:numCache>
                <c:formatCode>General</c:formatCode>
                <c:ptCount val="310"/>
                <c:pt idx="0">
                  <c:v>36.81</c:v>
                </c:pt>
                <c:pt idx="1">
                  <c:v>35.97</c:v>
                </c:pt>
                <c:pt idx="2">
                  <c:v>33.97</c:v>
                </c:pt>
                <c:pt idx="3">
                  <c:v>33.29</c:v>
                </c:pt>
                <c:pt idx="4">
                  <c:v>33.200000000000003</c:v>
                </c:pt>
                <c:pt idx="5">
                  <c:v>31.42</c:v>
                </c:pt>
                <c:pt idx="6">
                  <c:v>30.42</c:v>
                </c:pt>
                <c:pt idx="7">
                  <c:v>30.42</c:v>
                </c:pt>
                <c:pt idx="8">
                  <c:v>31.22</c:v>
                </c:pt>
                <c:pt idx="9">
                  <c:v>29.45</c:v>
                </c:pt>
                <c:pt idx="10">
                  <c:v>28.47</c:v>
                </c:pt>
                <c:pt idx="11">
                  <c:v>26.68</c:v>
                </c:pt>
                <c:pt idx="12">
                  <c:v>29.55</c:v>
                </c:pt>
                <c:pt idx="13">
                  <c:v>32.07</c:v>
                </c:pt>
                <c:pt idx="14">
                  <c:v>30.31</c:v>
                </c:pt>
                <c:pt idx="15">
                  <c:v>29.54</c:v>
                </c:pt>
                <c:pt idx="16">
                  <c:v>32.32</c:v>
                </c:pt>
                <c:pt idx="17">
                  <c:v>33.21</c:v>
                </c:pt>
                <c:pt idx="18">
                  <c:v>33.659999999999997</c:v>
                </c:pt>
                <c:pt idx="19">
                  <c:v>31.62</c:v>
                </c:pt>
                <c:pt idx="20">
                  <c:v>29.9</c:v>
                </c:pt>
                <c:pt idx="21">
                  <c:v>32.29</c:v>
                </c:pt>
                <c:pt idx="22">
                  <c:v>31.63</c:v>
                </c:pt>
                <c:pt idx="23">
                  <c:v>30.86</c:v>
                </c:pt>
                <c:pt idx="24">
                  <c:v>29.71</c:v>
                </c:pt>
                <c:pt idx="25">
                  <c:v>27.96</c:v>
                </c:pt>
                <c:pt idx="26">
                  <c:v>27.54</c:v>
                </c:pt>
                <c:pt idx="27">
                  <c:v>26.19</c:v>
                </c:pt>
                <c:pt idx="28">
                  <c:v>29.32</c:v>
                </c:pt>
                <c:pt idx="29">
                  <c:v>29.05</c:v>
                </c:pt>
                <c:pt idx="30">
                  <c:v>30.68</c:v>
                </c:pt>
                <c:pt idx="31">
                  <c:v>30.77</c:v>
                </c:pt>
                <c:pt idx="32">
                  <c:v>29.59</c:v>
                </c:pt>
                <c:pt idx="33">
                  <c:v>31.37</c:v>
                </c:pt>
                <c:pt idx="34">
                  <c:v>31.84</c:v>
                </c:pt>
                <c:pt idx="35">
                  <c:v>30.35</c:v>
                </c:pt>
                <c:pt idx="36">
                  <c:v>31.4</c:v>
                </c:pt>
                <c:pt idx="37">
                  <c:v>31.65</c:v>
                </c:pt>
                <c:pt idx="38">
                  <c:v>32.74</c:v>
                </c:pt>
                <c:pt idx="39">
                  <c:v>34.39</c:v>
                </c:pt>
                <c:pt idx="40">
                  <c:v>34.57</c:v>
                </c:pt>
                <c:pt idx="41">
                  <c:v>34.56</c:v>
                </c:pt>
                <c:pt idx="42">
                  <c:v>35.909999999999997</c:v>
                </c:pt>
                <c:pt idx="43">
                  <c:v>37.9</c:v>
                </c:pt>
                <c:pt idx="44">
                  <c:v>36.67</c:v>
                </c:pt>
                <c:pt idx="45">
                  <c:v>37.619999999999997</c:v>
                </c:pt>
                <c:pt idx="46">
                  <c:v>37.770000000000003</c:v>
                </c:pt>
                <c:pt idx="47">
                  <c:v>38.51</c:v>
                </c:pt>
                <c:pt idx="48">
                  <c:v>37.200000000000003</c:v>
                </c:pt>
                <c:pt idx="49">
                  <c:v>36.32</c:v>
                </c:pt>
                <c:pt idx="50">
                  <c:v>38.43</c:v>
                </c:pt>
                <c:pt idx="51">
                  <c:v>40.17</c:v>
                </c:pt>
                <c:pt idx="52">
                  <c:v>39.47</c:v>
                </c:pt>
                <c:pt idx="53">
                  <c:v>39.909999999999997</c:v>
                </c:pt>
                <c:pt idx="54">
                  <c:v>41.45</c:v>
                </c:pt>
                <c:pt idx="55">
                  <c:v>38.28</c:v>
                </c:pt>
                <c:pt idx="56">
                  <c:v>38.14</c:v>
                </c:pt>
                <c:pt idx="57">
                  <c:v>37.99</c:v>
                </c:pt>
                <c:pt idx="58">
                  <c:v>36.909999999999997</c:v>
                </c:pt>
                <c:pt idx="59">
                  <c:v>36.909999999999997</c:v>
                </c:pt>
                <c:pt idx="60">
                  <c:v>36.94</c:v>
                </c:pt>
                <c:pt idx="61">
                  <c:v>35.36</c:v>
                </c:pt>
                <c:pt idx="62">
                  <c:v>34.299999999999997</c:v>
                </c:pt>
                <c:pt idx="63">
                  <c:v>34.520000000000003</c:v>
                </c:pt>
                <c:pt idx="64">
                  <c:v>37.74</c:v>
                </c:pt>
                <c:pt idx="65">
                  <c:v>37.299999999999997</c:v>
                </c:pt>
                <c:pt idx="66">
                  <c:v>39.74</c:v>
                </c:pt>
                <c:pt idx="67">
                  <c:v>40.46</c:v>
                </c:pt>
                <c:pt idx="68">
                  <c:v>42.12</c:v>
                </c:pt>
                <c:pt idx="69">
                  <c:v>41.7</c:v>
                </c:pt>
                <c:pt idx="70">
                  <c:v>41.45</c:v>
                </c:pt>
                <c:pt idx="71">
                  <c:v>40.4</c:v>
                </c:pt>
                <c:pt idx="72">
                  <c:v>39.74</c:v>
                </c:pt>
                <c:pt idx="73">
                  <c:v>40.880000000000003</c:v>
                </c:pt>
                <c:pt idx="74">
                  <c:v>42.72</c:v>
                </c:pt>
                <c:pt idx="75">
                  <c:v>43.18</c:v>
                </c:pt>
                <c:pt idx="76">
                  <c:v>42.76</c:v>
                </c:pt>
                <c:pt idx="77">
                  <c:v>41.67</c:v>
                </c:pt>
                <c:pt idx="78">
                  <c:v>42.52</c:v>
                </c:pt>
                <c:pt idx="79">
                  <c:v>45.29</c:v>
                </c:pt>
                <c:pt idx="80">
                  <c:v>46.03</c:v>
                </c:pt>
                <c:pt idx="81">
                  <c:v>45.98</c:v>
                </c:pt>
                <c:pt idx="82">
                  <c:v>44.75</c:v>
                </c:pt>
                <c:pt idx="83">
                  <c:v>43.65</c:v>
                </c:pt>
                <c:pt idx="84">
                  <c:v>43.77</c:v>
                </c:pt>
                <c:pt idx="85">
                  <c:v>44.33</c:v>
                </c:pt>
                <c:pt idx="86">
                  <c:v>44.58</c:v>
                </c:pt>
                <c:pt idx="87">
                  <c:v>43.45</c:v>
                </c:pt>
                <c:pt idx="88">
                  <c:v>44.68</c:v>
                </c:pt>
                <c:pt idx="89">
                  <c:v>46.21</c:v>
                </c:pt>
                <c:pt idx="90">
                  <c:v>46.64</c:v>
                </c:pt>
                <c:pt idx="91">
                  <c:v>46.22</c:v>
                </c:pt>
                <c:pt idx="92">
                  <c:v>47.72</c:v>
                </c:pt>
                <c:pt idx="93">
                  <c:v>48.29</c:v>
                </c:pt>
                <c:pt idx="94">
                  <c:v>48.12</c:v>
                </c:pt>
                <c:pt idx="95">
                  <c:v>48.16</c:v>
                </c:pt>
                <c:pt idx="96">
                  <c:v>47.67</c:v>
                </c:pt>
                <c:pt idx="97">
                  <c:v>48.12</c:v>
                </c:pt>
                <c:pt idx="98">
                  <c:v>48.04</c:v>
                </c:pt>
                <c:pt idx="99">
                  <c:v>49.1</c:v>
                </c:pt>
                <c:pt idx="100">
                  <c:v>49</c:v>
                </c:pt>
                <c:pt idx="101">
                  <c:v>49.36</c:v>
                </c:pt>
                <c:pt idx="102">
                  <c:v>49.1</c:v>
                </c:pt>
                <c:pt idx="103">
                  <c:v>49.07</c:v>
                </c:pt>
                <c:pt idx="104">
                  <c:v>49.14</c:v>
                </c:pt>
                <c:pt idx="105">
                  <c:v>48.69</c:v>
                </c:pt>
                <c:pt idx="106">
                  <c:v>49.71</c:v>
                </c:pt>
                <c:pt idx="107">
                  <c:v>50.37</c:v>
                </c:pt>
                <c:pt idx="108">
                  <c:v>51.23</c:v>
                </c:pt>
                <c:pt idx="109">
                  <c:v>50.52</c:v>
                </c:pt>
                <c:pt idx="110">
                  <c:v>49.09</c:v>
                </c:pt>
                <c:pt idx="111">
                  <c:v>48.89</c:v>
                </c:pt>
                <c:pt idx="112">
                  <c:v>48.49</c:v>
                </c:pt>
                <c:pt idx="113">
                  <c:v>47.92</c:v>
                </c:pt>
                <c:pt idx="114">
                  <c:v>46.14</c:v>
                </c:pt>
                <c:pt idx="115">
                  <c:v>48</c:v>
                </c:pt>
                <c:pt idx="116">
                  <c:v>49.4</c:v>
                </c:pt>
                <c:pt idx="117">
                  <c:v>48.95</c:v>
                </c:pt>
                <c:pt idx="118">
                  <c:v>49.16</c:v>
                </c:pt>
                <c:pt idx="119">
                  <c:v>49.34</c:v>
                </c:pt>
                <c:pt idx="120">
                  <c:v>46.7</c:v>
                </c:pt>
                <c:pt idx="121">
                  <c:v>45.8</c:v>
                </c:pt>
                <c:pt idx="122">
                  <c:v>47.93</c:v>
                </c:pt>
                <c:pt idx="123">
                  <c:v>49.85</c:v>
                </c:pt>
                <c:pt idx="124">
                  <c:v>48.27</c:v>
                </c:pt>
                <c:pt idx="125">
                  <c:v>49.02</c:v>
                </c:pt>
                <c:pt idx="126">
                  <c:v>46.73</c:v>
                </c:pt>
                <c:pt idx="127">
                  <c:v>47.37</c:v>
                </c:pt>
                <c:pt idx="128">
                  <c:v>45.22</c:v>
                </c:pt>
                <c:pt idx="129">
                  <c:v>45.37</c:v>
                </c:pt>
                <c:pt idx="130">
                  <c:v>44.73</c:v>
                </c:pt>
                <c:pt idx="131">
                  <c:v>46.82</c:v>
                </c:pt>
                <c:pt idx="132">
                  <c:v>44.87</c:v>
                </c:pt>
                <c:pt idx="133">
                  <c:v>45.64</c:v>
                </c:pt>
                <c:pt idx="134">
                  <c:v>45.93</c:v>
                </c:pt>
                <c:pt idx="135">
                  <c:v>45.23</c:v>
                </c:pt>
                <c:pt idx="136">
                  <c:v>44.64</c:v>
                </c:pt>
                <c:pt idx="137">
                  <c:v>44.96</c:v>
                </c:pt>
                <c:pt idx="138">
                  <c:v>43.96</c:v>
                </c:pt>
                <c:pt idx="139">
                  <c:v>43.41</c:v>
                </c:pt>
                <c:pt idx="140">
                  <c:v>42.4</c:v>
                </c:pt>
                <c:pt idx="141">
                  <c:v>42.16</c:v>
                </c:pt>
                <c:pt idx="142">
                  <c:v>41.9</c:v>
                </c:pt>
                <c:pt idx="143">
                  <c:v>41.13</c:v>
                </c:pt>
                <c:pt idx="144">
                  <c:v>41.54</c:v>
                </c:pt>
                <c:pt idx="145">
                  <c:v>40.049999999999997</c:v>
                </c:pt>
                <c:pt idx="146">
                  <c:v>39.5</c:v>
                </c:pt>
                <c:pt idx="147">
                  <c:v>40.799999999999997</c:v>
                </c:pt>
                <c:pt idx="148">
                  <c:v>41.92</c:v>
                </c:pt>
                <c:pt idx="149">
                  <c:v>41.83</c:v>
                </c:pt>
                <c:pt idx="150">
                  <c:v>43.06</c:v>
                </c:pt>
                <c:pt idx="151">
                  <c:v>42.78</c:v>
                </c:pt>
                <c:pt idx="152">
                  <c:v>41.75</c:v>
                </c:pt>
                <c:pt idx="153">
                  <c:v>43.51</c:v>
                </c:pt>
                <c:pt idx="154">
                  <c:v>44.47</c:v>
                </c:pt>
                <c:pt idx="155">
                  <c:v>45.72</c:v>
                </c:pt>
                <c:pt idx="156">
                  <c:v>46.57</c:v>
                </c:pt>
                <c:pt idx="157">
                  <c:v>46.81</c:v>
                </c:pt>
                <c:pt idx="158">
                  <c:v>48.2</c:v>
                </c:pt>
                <c:pt idx="159">
                  <c:v>48.48</c:v>
                </c:pt>
                <c:pt idx="160">
                  <c:v>46.8</c:v>
                </c:pt>
                <c:pt idx="161">
                  <c:v>47.54</c:v>
                </c:pt>
                <c:pt idx="162">
                  <c:v>46.29</c:v>
                </c:pt>
                <c:pt idx="163">
                  <c:v>46.97</c:v>
                </c:pt>
                <c:pt idx="164">
                  <c:v>47.64</c:v>
                </c:pt>
                <c:pt idx="165">
                  <c:v>46.97</c:v>
                </c:pt>
                <c:pt idx="166">
                  <c:v>46.32</c:v>
                </c:pt>
                <c:pt idx="167">
                  <c:v>44.68</c:v>
                </c:pt>
                <c:pt idx="168">
                  <c:v>43.17</c:v>
                </c:pt>
                <c:pt idx="169">
                  <c:v>44.39</c:v>
                </c:pt>
                <c:pt idx="170">
                  <c:v>44.85</c:v>
                </c:pt>
                <c:pt idx="171">
                  <c:v>45.47</c:v>
                </c:pt>
                <c:pt idx="172">
                  <c:v>47.63</c:v>
                </c:pt>
                <c:pt idx="173">
                  <c:v>45.88</c:v>
                </c:pt>
                <c:pt idx="174">
                  <c:v>46.28</c:v>
                </c:pt>
                <c:pt idx="175">
                  <c:v>44.91</c:v>
                </c:pt>
                <c:pt idx="176">
                  <c:v>43.62</c:v>
                </c:pt>
                <c:pt idx="177">
                  <c:v>43.85</c:v>
                </c:pt>
                <c:pt idx="178">
                  <c:v>43.04</c:v>
                </c:pt>
                <c:pt idx="179">
                  <c:v>43.34</c:v>
                </c:pt>
                <c:pt idx="180">
                  <c:v>43.85</c:v>
                </c:pt>
                <c:pt idx="181">
                  <c:v>45.33</c:v>
                </c:pt>
                <c:pt idx="182">
                  <c:v>46.1</c:v>
                </c:pt>
                <c:pt idx="183">
                  <c:v>44.36</c:v>
                </c:pt>
                <c:pt idx="184">
                  <c:v>45.6</c:v>
                </c:pt>
                <c:pt idx="185">
                  <c:v>44.65</c:v>
                </c:pt>
                <c:pt idx="186">
                  <c:v>47.07</c:v>
                </c:pt>
                <c:pt idx="187">
                  <c:v>47.72</c:v>
                </c:pt>
                <c:pt idx="188">
                  <c:v>47.72</c:v>
                </c:pt>
                <c:pt idx="189">
                  <c:v>48.8</c:v>
                </c:pt>
                <c:pt idx="190">
                  <c:v>48.67</c:v>
                </c:pt>
                <c:pt idx="191">
                  <c:v>49.75</c:v>
                </c:pt>
                <c:pt idx="192">
                  <c:v>50.44</c:v>
                </c:pt>
                <c:pt idx="193">
                  <c:v>49.76</c:v>
                </c:pt>
                <c:pt idx="194">
                  <c:v>49.76</c:v>
                </c:pt>
                <c:pt idx="195">
                  <c:v>50.72</c:v>
                </c:pt>
                <c:pt idx="196">
                  <c:v>50.14</c:v>
                </c:pt>
                <c:pt idx="197">
                  <c:v>50.47</c:v>
                </c:pt>
                <c:pt idx="198">
                  <c:v>50.35</c:v>
                </c:pt>
                <c:pt idx="199">
                  <c:v>49.97</c:v>
                </c:pt>
                <c:pt idx="200">
                  <c:v>50.3</c:v>
                </c:pt>
                <c:pt idx="201">
                  <c:v>51.59</c:v>
                </c:pt>
                <c:pt idx="202">
                  <c:v>50.31</c:v>
                </c:pt>
                <c:pt idx="203">
                  <c:v>50.61</c:v>
                </c:pt>
                <c:pt idx="204">
                  <c:v>50.18</c:v>
                </c:pt>
                <c:pt idx="205">
                  <c:v>49.45</c:v>
                </c:pt>
                <c:pt idx="206">
                  <c:v>48.75</c:v>
                </c:pt>
                <c:pt idx="207">
                  <c:v>49.71</c:v>
                </c:pt>
                <c:pt idx="208">
                  <c:v>48.72</c:v>
                </c:pt>
                <c:pt idx="209">
                  <c:v>46.83</c:v>
                </c:pt>
                <c:pt idx="210">
                  <c:v>46.66</c:v>
                </c:pt>
                <c:pt idx="211">
                  <c:v>45.32</c:v>
                </c:pt>
                <c:pt idx="212">
                  <c:v>44.66</c:v>
                </c:pt>
                <c:pt idx="213">
                  <c:v>44.07</c:v>
                </c:pt>
                <c:pt idx="214">
                  <c:v>44.88</c:v>
                </c:pt>
                <c:pt idx="215">
                  <c:v>44.96</c:v>
                </c:pt>
                <c:pt idx="216">
                  <c:v>45.2</c:v>
                </c:pt>
                <c:pt idx="217">
                  <c:v>44.62</c:v>
                </c:pt>
                <c:pt idx="218">
                  <c:v>43.39</c:v>
                </c:pt>
                <c:pt idx="219">
                  <c:v>43.29</c:v>
                </c:pt>
                <c:pt idx="220">
                  <c:v>45.86</c:v>
                </c:pt>
                <c:pt idx="221">
                  <c:v>45.56</c:v>
                </c:pt>
                <c:pt idx="222">
                  <c:v>45.37</c:v>
                </c:pt>
                <c:pt idx="223">
                  <c:v>45.69</c:v>
                </c:pt>
                <c:pt idx="224">
                  <c:v>47.48</c:v>
                </c:pt>
                <c:pt idx="225">
                  <c:v>48.07</c:v>
                </c:pt>
                <c:pt idx="226">
                  <c:v>46.72</c:v>
                </c:pt>
                <c:pt idx="227">
                  <c:v>46.72</c:v>
                </c:pt>
                <c:pt idx="228">
                  <c:v>45.66</c:v>
                </c:pt>
                <c:pt idx="229">
                  <c:v>45.29</c:v>
                </c:pt>
                <c:pt idx="230">
                  <c:v>49.41</c:v>
                </c:pt>
                <c:pt idx="231">
                  <c:v>51.08</c:v>
                </c:pt>
                <c:pt idx="232">
                  <c:v>51.7</c:v>
                </c:pt>
                <c:pt idx="233">
                  <c:v>51.72</c:v>
                </c:pt>
                <c:pt idx="234">
                  <c:v>50.95</c:v>
                </c:pt>
                <c:pt idx="235">
                  <c:v>49.85</c:v>
                </c:pt>
                <c:pt idx="236">
                  <c:v>50.84</c:v>
                </c:pt>
                <c:pt idx="237">
                  <c:v>51.51</c:v>
                </c:pt>
                <c:pt idx="238">
                  <c:v>52.74</c:v>
                </c:pt>
                <c:pt idx="239">
                  <c:v>52.99</c:v>
                </c:pt>
                <c:pt idx="240">
                  <c:v>51.01</c:v>
                </c:pt>
                <c:pt idx="241">
                  <c:v>50.9</c:v>
                </c:pt>
                <c:pt idx="242">
                  <c:v>51.93</c:v>
                </c:pt>
                <c:pt idx="243">
                  <c:v>52.13</c:v>
                </c:pt>
                <c:pt idx="244">
                  <c:v>52.22</c:v>
                </c:pt>
                <c:pt idx="245">
                  <c:v>51.44</c:v>
                </c:pt>
                <c:pt idx="246">
                  <c:v>51.98</c:v>
                </c:pt>
                <c:pt idx="247">
                  <c:v>52.01</c:v>
                </c:pt>
                <c:pt idx="248">
                  <c:v>52.82</c:v>
                </c:pt>
                <c:pt idx="249">
                  <c:v>54.01</c:v>
                </c:pt>
                <c:pt idx="250">
                  <c:v>53.8</c:v>
                </c:pt>
                <c:pt idx="251">
                  <c:v>53.75</c:v>
                </c:pt>
                <c:pt idx="252">
                  <c:v>52.36</c:v>
                </c:pt>
                <c:pt idx="253">
                  <c:v>53.26</c:v>
                </c:pt>
                <c:pt idx="254">
                  <c:v>53.77</c:v>
                </c:pt>
                <c:pt idx="255">
                  <c:v>53.98</c:v>
                </c:pt>
                <c:pt idx="256">
                  <c:v>51.95</c:v>
                </c:pt>
                <c:pt idx="257">
                  <c:v>50.82</c:v>
                </c:pt>
                <c:pt idx="258">
                  <c:v>52.19</c:v>
                </c:pt>
                <c:pt idx="259">
                  <c:v>53.01</c:v>
                </c:pt>
                <c:pt idx="260">
                  <c:v>52.36</c:v>
                </c:pt>
                <c:pt idx="261">
                  <c:v>52.45</c:v>
                </c:pt>
                <c:pt idx="262">
                  <c:v>51.12</c:v>
                </c:pt>
                <c:pt idx="263">
                  <c:v>51.39</c:v>
                </c:pt>
                <c:pt idx="264">
                  <c:v>52.33</c:v>
                </c:pt>
                <c:pt idx="265">
                  <c:v>52.77</c:v>
                </c:pt>
                <c:pt idx="266">
                  <c:v>52.38</c:v>
                </c:pt>
                <c:pt idx="267">
                  <c:v>52.14</c:v>
                </c:pt>
                <c:pt idx="268">
                  <c:v>53.24</c:v>
                </c:pt>
                <c:pt idx="269">
                  <c:v>53.18</c:v>
                </c:pt>
                <c:pt idx="270">
                  <c:v>52.63</c:v>
                </c:pt>
                <c:pt idx="271">
                  <c:v>52.75</c:v>
                </c:pt>
                <c:pt idx="272">
                  <c:v>53.9</c:v>
                </c:pt>
                <c:pt idx="273">
                  <c:v>53.55</c:v>
                </c:pt>
                <c:pt idx="274">
                  <c:v>53.81</c:v>
                </c:pt>
                <c:pt idx="275">
                  <c:v>53.01</c:v>
                </c:pt>
                <c:pt idx="276">
                  <c:v>52.19</c:v>
                </c:pt>
                <c:pt idx="277">
                  <c:v>52.37</c:v>
                </c:pt>
                <c:pt idx="278">
                  <c:v>52.99</c:v>
                </c:pt>
                <c:pt idx="279">
                  <c:v>53.84</c:v>
                </c:pt>
                <c:pt idx="280">
                  <c:v>52.96</c:v>
                </c:pt>
                <c:pt idx="281">
                  <c:v>53.21</c:v>
                </c:pt>
                <c:pt idx="282">
                  <c:v>53.11</c:v>
                </c:pt>
                <c:pt idx="283">
                  <c:v>53.41</c:v>
                </c:pt>
                <c:pt idx="284">
                  <c:v>53.41</c:v>
                </c:pt>
                <c:pt idx="285">
                  <c:v>54.02</c:v>
                </c:pt>
                <c:pt idx="286">
                  <c:v>53.61</c:v>
                </c:pt>
                <c:pt idx="287">
                  <c:v>54.48</c:v>
                </c:pt>
                <c:pt idx="288">
                  <c:v>53.99</c:v>
                </c:pt>
                <c:pt idx="289">
                  <c:v>54.04</c:v>
                </c:pt>
                <c:pt idx="290">
                  <c:v>54</c:v>
                </c:pt>
                <c:pt idx="291">
                  <c:v>53.82</c:v>
                </c:pt>
                <c:pt idx="292">
                  <c:v>52.63</c:v>
                </c:pt>
                <c:pt idx="293">
                  <c:v>53.33</c:v>
                </c:pt>
                <c:pt idx="294">
                  <c:v>53.19</c:v>
                </c:pt>
                <c:pt idx="295">
                  <c:v>52.68</c:v>
                </c:pt>
                <c:pt idx="296">
                  <c:v>49.83</c:v>
                </c:pt>
                <c:pt idx="297">
                  <c:v>48.75</c:v>
                </c:pt>
                <c:pt idx="298">
                  <c:v>48.05</c:v>
                </c:pt>
                <c:pt idx="299">
                  <c:v>47.95</c:v>
                </c:pt>
                <c:pt idx="300">
                  <c:v>47.24</c:v>
                </c:pt>
                <c:pt idx="301">
                  <c:v>48.34</c:v>
                </c:pt>
                <c:pt idx="302">
                  <c:v>48.3</c:v>
                </c:pt>
                <c:pt idx="303">
                  <c:v>48.34</c:v>
                </c:pt>
                <c:pt idx="304">
                  <c:v>47.79</c:v>
                </c:pt>
                <c:pt idx="305">
                  <c:v>47.02</c:v>
                </c:pt>
                <c:pt idx="306">
                  <c:v>47.29</c:v>
                </c:pt>
                <c:pt idx="307">
                  <c:v>47</c:v>
                </c:pt>
                <c:pt idx="308">
                  <c:v>47.3</c:v>
                </c:pt>
                <c:pt idx="309">
                  <c:v>47.02</c:v>
                </c:pt>
              </c:numCache>
            </c:numRef>
          </c:val>
          <c:smooth val="0"/>
        </c:ser>
        <c:dLbls>
          <c:showLegendKey val="0"/>
          <c:showVal val="0"/>
          <c:showCatName val="0"/>
          <c:showSerName val="0"/>
          <c:showPercent val="0"/>
          <c:showBubbleSize val="0"/>
        </c:dLbls>
        <c:smooth val="0"/>
        <c:axId val="79158568"/>
        <c:axId val="156062696"/>
      </c:lineChart>
      <c:catAx>
        <c:axId val="7915856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156062696"/>
        <c:crosses val="autoZero"/>
        <c:auto val="1"/>
        <c:lblAlgn val="ctr"/>
        <c:lblOffset val="100"/>
        <c:noMultiLvlLbl val="0"/>
      </c:catAx>
      <c:valAx>
        <c:axId val="1560626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158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gif"/><Relationship Id="rId2" Type="http://schemas.openxmlformats.org/officeDocument/2006/relationships/image" Target="../media/image2.gif"/><Relationship Id="rId1" Type="http://schemas.openxmlformats.org/officeDocument/2006/relationships/image" Target="../media/image1.gif"/><Relationship Id="rId4" Type="http://schemas.openxmlformats.org/officeDocument/2006/relationships/image" Target="../media/image4.gif"/></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8" Type="http://schemas.openxmlformats.org/officeDocument/2006/relationships/hyperlink" Target="http://oilprice.com/Energy/Oil-Prices/Did-The-Saudis-And-The-US-Collude-In-Dropping-Oil-Prices.html" TargetMode="External"/><Relationship Id="rId3" Type="http://schemas.openxmlformats.org/officeDocument/2006/relationships/image" Target="../media/image7.png"/><Relationship Id="rId7" Type="http://schemas.openxmlformats.org/officeDocument/2006/relationships/image" Target="../media/image11.png"/><Relationship Id="rId2" Type="http://schemas.openxmlformats.org/officeDocument/2006/relationships/image" Target="../media/image6.png"/><Relationship Id="rId1" Type="http://schemas.openxmlformats.org/officeDocument/2006/relationships/chart" Target="../charts/chart2.xml"/><Relationship Id="rId6" Type="http://schemas.openxmlformats.org/officeDocument/2006/relationships/image" Target="../media/image10.png"/><Relationship Id="rId5" Type="http://schemas.openxmlformats.org/officeDocument/2006/relationships/image" Target="../media/image9.png"/><Relationship Id="rId4" Type="http://schemas.openxmlformats.org/officeDocument/2006/relationships/image" Target="../media/image8.png"/><Relationship Id="rId9" Type="http://schemas.openxmlformats.org/officeDocument/2006/relationships/image" Target="../media/image12.png"/></Relationships>
</file>

<file path=xl/drawings/_rels/drawing5.xml.rels><?xml version="1.0" encoding="UTF-8" standalone="yes"?>
<Relationships xmlns="http://schemas.openxmlformats.org/package/2006/relationships"><Relationship Id="rId8" Type="http://schemas.openxmlformats.org/officeDocument/2006/relationships/image" Target="../media/image19.png"/><Relationship Id="rId3" Type="http://schemas.openxmlformats.org/officeDocument/2006/relationships/image" Target="../media/image14.png"/><Relationship Id="rId7" Type="http://schemas.openxmlformats.org/officeDocument/2006/relationships/image" Target="../media/image18.png"/><Relationship Id="rId2" Type="http://schemas.openxmlformats.org/officeDocument/2006/relationships/chart" Target="../charts/chart3.xml"/><Relationship Id="rId1" Type="http://schemas.openxmlformats.org/officeDocument/2006/relationships/image" Target="../media/image13.png"/><Relationship Id="rId6" Type="http://schemas.openxmlformats.org/officeDocument/2006/relationships/image" Target="../media/image17.png"/><Relationship Id="rId5" Type="http://schemas.openxmlformats.org/officeDocument/2006/relationships/image" Target="../media/image16.png"/><Relationship Id="rId10" Type="http://schemas.openxmlformats.org/officeDocument/2006/relationships/chart" Target="../charts/chart5.xml"/><Relationship Id="rId4" Type="http://schemas.openxmlformats.org/officeDocument/2006/relationships/image" Target="../media/image15.png"/><Relationship Id="rId9"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15</xdr:col>
      <xdr:colOff>0</xdr:colOff>
      <xdr:row>27</xdr:row>
      <xdr:rowOff>142875</xdr:rowOff>
    </xdr:to>
    <xdr:sp macro="" textlink="">
      <xdr:nvSpPr>
        <xdr:cNvPr id="2" name="TextBox 1"/>
        <xdr:cNvSpPr txBox="1"/>
      </xdr:nvSpPr>
      <xdr:spPr>
        <a:xfrm>
          <a:off x="0" y="0"/>
          <a:ext cx="9144000" cy="5391150"/>
        </a:xfrm>
        <a:prstGeom prst="rect">
          <a:avLst/>
        </a:prstGeom>
        <a:solidFill>
          <a:srgbClr val="9BFD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1" u="none" strike="noStrike">
              <a:solidFill>
                <a:schemeClr val="dk1"/>
              </a:solidFill>
              <a:effectLst/>
              <a:latin typeface="+mn-lt"/>
              <a:ea typeface="+mn-ea"/>
              <a:cs typeface="+mn-cs"/>
            </a:rPr>
            <a:t> The Black-Scholes Model </a:t>
          </a:r>
          <a:r>
            <a:rPr lang="en-US" sz="1400" b="0" i="1" u="none" strike="noStrike">
              <a:solidFill>
                <a:schemeClr val="dk1"/>
              </a:solidFill>
              <a:effectLst/>
              <a:latin typeface="+mn-lt"/>
              <a:ea typeface="+mn-ea"/>
              <a:cs typeface="+mn-cs"/>
            </a:rPr>
            <a:t>is a mathematical model used to estimate the price of European-style options (call and put). </a:t>
          </a:r>
        </a:p>
        <a:p>
          <a:endParaRPr lang="en-US" sz="1400" b="1" i="0" u="none" strike="noStrike">
            <a:solidFill>
              <a:schemeClr val="dk1"/>
            </a:solidFill>
            <a:effectLst/>
            <a:latin typeface="+mn-lt"/>
            <a:ea typeface="+mn-ea"/>
            <a:cs typeface="+mn-cs"/>
          </a:endParaRPr>
        </a:p>
        <a:p>
          <a:r>
            <a:rPr lang="en-US" sz="1400" b="0" i="1"/>
            <a:t> </a:t>
          </a:r>
          <a:r>
            <a:rPr lang="en-US" sz="1400" b="0" i="1" u="none" strike="noStrike">
              <a:solidFill>
                <a:schemeClr val="dk1"/>
              </a:solidFill>
              <a:effectLst/>
              <a:latin typeface="+mn-lt"/>
              <a:ea typeface="+mn-ea"/>
              <a:cs typeface="+mn-cs"/>
            </a:rPr>
            <a:t>The model requires the following inputs to estimate the price of an option:</a:t>
          </a:r>
        </a:p>
        <a:p>
          <a:pPr lvl="1"/>
          <a:r>
            <a:rPr lang="en-US" sz="1400" b="0" i="1" u="none" strike="noStrike">
              <a:solidFill>
                <a:schemeClr val="dk1"/>
              </a:solidFill>
              <a:effectLst/>
              <a:latin typeface="+mn-lt"/>
              <a:ea typeface="+mn-ea"/>
              <a:cs typeface="+mn-cs"/>
            </a:rPr>
            <a:t>S = current</a:t>
          </a:r>
          <a:r>
            <a:rPr lang="en-US" sz="1400" b="0" i="1" u="none" strike="noStrike" baseline="0">
              <a:solidFill>
                <a:schemeClr val="dk1"/>
              </a:solidFill>
              <a:effectLst/>
              <a:latin typeface="+mn-lt"/>
              <a:ea typeface="+mn-ea"/>
              <a:cs typeface="+mn-cs"/>
            </a:rPr>
            <a:t> stock</a:t>
          </a:r>
          <a:r>
            <a:rPr lang="en-US" sz="1400" b="0" i="1" u="none" strike="noStrike">
              <a:solidFill>
                <a:schemeClr val="dk1"/>
              </a:solidFill>
              <a:effectLst/>
              <a:latin typeface="+mn-lt"/>
              <a:ea typeface="+mn-ea"/>
              <a:cs typeface="+mn-cs"/>
            </a:rPr>
            <a:t> price</a:t>
          </a:r>
        </a:p>
        <a:p>
          <a:pPr lvl="1"/>
          <a:r>
            <a:rPr lang="en-US" sz="1400" b="0" i="1" u="none" strike="noStrike">
              <a:solidFill>
                <a:schemeClr val="dk1"/>
              </a:solidFill>
              <a:effectLst/>
              <a:latin typeface="+mn-lt"/>
              <a:ea typeface="+mn-ea"/>
              <a:cs typeface="+mn-cs"/>
            </a:rPr>
            <a:t>K = strike price or exercise price</a:t>
          </a:r>
          <a:r>
            <a:rPr lang="en-US" sz="1400" b="0" i="1">
              <a:effectLst/>
            </a:rPr>
            <a:t> </a:t>
          </a:r>
        </a:p>
        <a:p>
          <a:pPr lvl="1"/>
          <a:r>
            <a:rPr lang="en-US" sz="1400" b="0" i="1" u="none" strike="noStrike">
              <a:solidFill>
                <a:schemeClr val="dk1"/>
              </a:solidFill>
              <a:effectLst/>
              <a:latin typeface="+mn-lt"/>
              <a:ea typeface="+mn-ea"/>
              <a:cs typeface="+mn-cs"/>
            </a:rPr>
            <a:t>r = risk free rate of interest</a:t>
          </a:r>
        </a:p>
        <a:p>
          <a:pPr lvl="1"/>
          <a:r>
            <a:rPr lang="el-GR" sz="1600" b="0" i="0">
              <a:solidFill>
                <a:schemeClr val="dk1"/>
              </a:solidFill>
              <a:effectLst/>
              <a:latin typeface="+mn-lt"/>
              <a:ea typeface="+mn-ea"/>
              <a:cs typeface="+mn-cs"/>
            </a:rPr>
            <a:t>σ</a:t>
          </a:r>
          <a:r>
            <a:rPr lang="en-US" sz="1400" b="0" i="1" u="none" strike="noStrike">
              <a:solidFill>
                <a:schemeClr val="dk1"/>
              </a:solidFill>
              <a:effectLst/>
              <a:latin typeface="+mn-lt"/>
              <a:ea typeface="+mn-ea"/>
              <a:cs typeface="+mn-cs"/>
            </a:rPr>
            <a:t> = implied volatility</a:t>
          </a:r>
          <a:r>
            <a:rPr lang="en-US" sz="1400" b="0" i="1">
              <a:effectLst/>
            </a:rPr>
            <a:t> </a:t>
          </a:r>
        </a:p>
        <a:p>
          <a:pPr lvl="1"/>
          <a:r>
            <a:rPr lang="en-US" sz="1400" b="0" i="1" u="none" strike="noStrike">
              <a:solidFill>
                <a:schemeClr val="dk1"/>
              </a:solidFill>
              <a:effectLst/>
              <a:latin typeface="+mn-lt"/>
              <a:ea typeface="+mn-ea"/>
              <a:cs typeface="+mn-cs"/>
            </a:rPr>
            <a:t>t = time to maturity (in years)</a:t>
          </a:r>
          <a:r>
            <a:rPr lang="en-US" sz="1400" b="0" i="1">
              <a:effectLst/>
            </a:rPr>
            <a:t> </a:t>
          </a:r>
        </a:p>
        <a:p>
          <a:pPr lvl="1"/>
          <a:endParaRPr lang="en-US" sz="1400" b="0" i="1">
            <a:effectLst/>
          </a:endParaRPr>
        </a:p>
        <a:p>
          <a:pPr lvl="0"/>
          <a:r>
            <a:rPr lang="en-US" sz="1400" b="0" i="1" u="none" strike="noStrike">
              <a:solidFill>
                <a:schemeClr val="dk1"/>
              </a:solidFill>
              <a:effectLst/>
              <a:latin typeface="+mn-lt"/>
              <a:ea typeface="+mn-ea"/>
              <a:cs typeface="+mn-cs"/>
            </a:rPr>
            <a:t>The pricing model is:</a:t>
          </a:r>
        </a:p>
        <a:p>
          <a:pPr lvl="0"/>
          <a:endParaRPr lang="en-US" sz="1400" b="0" i="1" u="none" strike="noStrike">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400" b="0" i="1" u="none" strike="noStrike">
              <a:solidFill>
                <a:schemeClr val="dk1"/>
              </a:solidFill>
              <a:effectLst/>
              <a:latin typeface="+mn-lt"/>
              <a:ea typeface="+mn-ea"/>
              <a:cs typeface="+mn-cs"/>
            </a:rPr>
            <a:t>			</a:t>
          </a:r>
          <a:r>
            <a:rPr lang="en-US" sz="1400" b="0" i="1" u="none" strike="noStrike" baseline="0">
              <a:solidFill>
                <a:schemeClr val="dk1"/>
              </a:solidFill>
              <a:effectLst/>
              <a:latin typeface="+mn-lt"/>
              <a:ea typeface="+mn-ea"/>
              <a:cs typeface="+mn-cs"/>
            </a:rPr>
            <a:t>   - </a:t>
          </a:r>
          <a:r>
            <a:rPr lang="en-US" sz="1100" i="1">
              <a:solidFill>
                <a:schemeClr val="dk1"/>
              </a:solidFill>
              <a:effectLst/>
              <a:latin typeface="+mn-lt"/>
              <a:ea typeface="+mn-ea"/>
              <a:cs typeface="+mn-cs"/>
            </a:rPr>
            <a:t>Call option</a:t>
          </a:r>
          <a:r>
            <a:rPr lang="en-US" sz="1100" i="1" baseline="0">
              <a:solidFill>
                <a:schemeClr val="dk1"/>
              </a:solidFill>
              <a:effectLst/>
              <a:latin typeface="+mn-lt"/>
              <a:ea typeface="+mn-ea"/>
              <a:cs typeface="+mn-cs"/>
            </a:rPr>
            <a:t> price</a:t>
          </a:r>
          <a:endParaRPr lang="en-US" sz="1400">
            <a:effectLst/>
          </a:endParaRPr>
        </a:p>
        <a:p>
          <a:pPr lvl="0"/>
          <a:endParaRPr lang="en-US" sz="1400" b="0" i="1" u="none" strike="noStrike">
            <a:solidFill>
              <a:schemeClr val="dk1"/>
            </a:solidFill>
            <a:effectLst/>
            <a:latin typeface="+mn-lt"/>
            <a:ea typeface="+mn-ea"/>
            <a:cs typeface="+mn-cs"/>
          </a:endParaRPr>
        </a:p>
        <a:p>
          <a:pPr lvl="0"/>
          <a:r>
            <a:rPr lang="en-US" sz="1400" b="0" i="1" u="none" strike="noStrike">
              <a:solidFill>
                <a:schemeClr val="dk1"/>
              </a:solidFill>
              <a:effectLst/>
              <a:latin typeface="+mn-lt"/>
              <a:ea typeface="+mn-ea"/>
              <a:cs typeface="+mn-cs"/>
            </a:rPr>
            <a:t>			</a:t>
          </a:r>
          <a:r>
            <a:rPr lang="en-US" sz="1400" b="0" i="1" u="none" strike="noStrike" baseline="0">
              <a:solidFill>
                <a:schemeClr val="dk1"/>
              </a:solidFill>
              <a:effectLst/>
              <a:latin typeface="+mn-lt"/>
              <a:ea typeface="+mn-ea"/>
              <a:cs typeface="+mn-cs"/>
            </a:rPr>
            <a:t>        </a:t>
          </a:r>
          <a:r>
            <a:rPr lang="en-US" sz="1100" i="1">
              <a:solidFill>
                <a:schemeClr val="dk1"/>
              </a:solidFill>
              <a:effectLst/>
              <a:latin typeface="+mn-lt"/>
              <a:ea typeface="+mn-ea"/>
              <a:cs typeface="+mn-cs"/>
            </a:rPr>
            <a:t>-  Put option price</a:t>
          </a:r>
        </a:p>
        <a:p>
          <a:pPr lvl="0"/>
          <a:endParaRPr lang="en-US" sz="1400" b="0" i="1" u="none" strike="noStrike">
            <a:solidFill>
              <a:schemeClr val="dk1"/>
            </a:solidFill>
            <a:effectLst/>
            <a:latin typeface="+mn-lt"/>
            <a:ea typeface="+mn-ea"/>
            <a:cs typeface="+mn-cs"/>
          </a:endParaRPr>
        </a:p>
        <a:p>
          <a:pPr lvl="0"/>
          <a:endParaRPr lang="en-US" sz="1400" b="0" i="1" u="none" strike="noStrike">
            <a:solidFill>
              <a:schemeClr val="dk1"/>
            </a:solidFill>
            <a:effectLst/>
            <a:latin typeface="+mn-lt"/>
            <a:ea typeface="+mn-ea"/>
            <a:cs typeface="+mn-cs"/>
          </a:endParaRPr>
        </a:p>
        <a:p>
          <a:pPr lvl="0"/>
          <a:endParaRPr lang="en-US" sz="1400" b="0" i="1" u="none" strike="noStrike">
            <a:solidFill>
              <a:schemeClr val="dk1"/>
            </a:solidFill>
            <a:effectLst/>
            <a:latin typeface="+mn-lt"/>
            <a:ea typeface="+mn-ea"/>
            <a:cs typeface="+mn-cs"/>
          </a:endParaRPr>
        </a:p>
        <a:p>
          <a:pPr lvl="0"/>
          <a:endParaRPr lang="en-US" sz="1400" b="0" i="1" u="none" strike="noStrike">
            <a:solidFill>
              <a:schemeClr val="dk1"/>
            </a:solidFill>
            <a:effectLst/>
            <a:latin typeface="+mn-lt"/>
            <a:ea typeface="+mn-ea"/>
            <a:cs typeface="+mn-cs"/>
          </a:endParaRPr>
        </a:p>
        <a:p>
          <a:pPr lvl="0"/>
          <a:endParaRPr lang="en-US" sz="1400" b="0" i="1" u="none" strike="noStrike">
            <a:solidFill>
              <a:schemeClr val="dk1"/>
            </a:solidFill>
            <a:effectLst/>
            <a:latin typeface="+mn-lt"/>
            <a:ea typeface="+mn-ea"/>
            <a:cs typeface="+mn-cs"/>
          </a:endParaRPr>
        </a:p>
        <a:p>
          <a:pPr lvl="0"/>
          <a:endParaRPr lang="en-US" sz="1400" b="0" i="1" u="none" strike="noStrike">
            <a:solidFill>
              <a:schemeClr val="dk1"/>
            </a:solidFill>
            <a:effectLst/>
            <a:latin typeface="+mn-lt"/>
            <a:ea typeface="+mn-ea"/>
            <a:cs typeface="+mn-cs"/>
          </a:endParaRPr>
        </a:p>
        <a:p>
          <a:pPr lvl="0"/>
          <a:endParaRPr lang="en-US" sz="1400" b="0" i="1" u="none" strike="noStrike">
            <a:solidFill>
              <a:schemeClr val="dk1"/>
            </a:solidFill>
            <a:effectLst/>
            <a:latin typeface="+mn-lt"/>
            <a:ea typeface="+mn-ea"/>
            <a:cs typeface="+mn-cs"/>
          </a:endParaRPr>
        </a:p>
        <a:p>
          <a:pPr lvl="0"/>
          <a:r>
            <a:rPr lang="en-US" sz="1400" b="0" i="1" u="none" strike="noStrike">
              <a:solidFill>
                <a:schemeClr val="dk1"/>
              </a:solidFill>
              <a:effectLst/>
              <a:latin typeface="+mn-lt"/>
              <a:ea typeface="+mn-ea"/>
              <a:cs typeface="+mn-cs"/>
            </a:rPr>
            <a:t>where </a:t>
          </a:r>
        </a:p>
        <a:p>
          <a:pPr lvl="0"/>
          <a:r>
            <a:rPr lang="en-US" sz="1400" b="0" i="1" u="none" strike="noStrike">
              <a:solidFill>
                <a:schemeClr val="dk1"/>
              </a:solidFill>
              <a:effectLst/>
              <a:latin typeface="+mn-lt"/>
              <a:ea typeface="+mn-ea"/>
              <a:cs typeface="+mn-cs"/>
            </a:rPr>
            <a:t>N(x)</a:t>
          </a:r>
          <a:r>
            <a:rPr lang="en-US" sz="1400" b="0" i="1" u="none" strike="noStrike" baseline="0">
              <a:solidFill>
                <a:schemeClr val="dk1"/>
              </a:solidFill>
              <a:effectLst/>
              <a:latin typeface="+mn-lt"/>
              <a:ea typeface="+mn-ea"/>
              <a:cs typeface="+mn-cs"/>
            </a:rPr>
            <a:t> is</a:t>
          </a:r>
          <a:r>
            <a:rPr lang="en-US" sz="1400" b="0" i="1" u="none" strike="noStrike">
              <a:solidFill>
                <a:schemeClr val="dk1"/>
              </a:solidFill>
              <a:effectLst/>
              <a:latin typeface="+mn-lt"/>
              <a:ea typeface="+mn-ea"/>
              <a:cs typeface="+mn-cs"/>
            </a:rPr>
            <a:t> the cumulative probability distribution function for the standardized normal distribution (mean = 0 and standard deviation = 1). In other words, it the probability that a variable with standard normal distribution N(0, 1) will be less than x.</a:t>
          </a:r>
        </a:p>
      </xdr:txBody>
    </xdr:sp>
    <xdr:clientData/>
  </xdr:twoCellAnchor>
  <xdr:twoCellAnchor editAs="oneCell">
    <xdr:from>
      <xdr:col>0</xdr:col>
      <xdr:colOff>600075</xdr:colOff>
      <xdr:row>12</xdr:row>
      <xdr:rowOff>66675</xdr:rowOff>
    </xdr:from>
    <xdr:to>
      <xdr:col>2</xdr:col>
      <xdr:colOff>476250</xdr:colOff>
      <xdr:row>13</xdr:row>
      <xdr:rowOff>47625</xdr:rowOff>
    </xdr:to>
    <xdr:pic>
      <xdr:nvPicPr>
        <xdr:cNvPr id="3" name="Picture 2" descr="c="/>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0075" y="2457450"/>
          <a:ext cx="21526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571500</xdr:colOff>
      <xdr:row>14</xdr:row>
      <xdr:rowOff>133350</xdr:rowOff>
    </xdr:from>
    <xdr:to>
      <xdr:col>2</xdr:col>
      <xdr:colOff>704850</xdr:colOff>
      <xdr:row>15</xdr:row>
      <xdr:rowOff>114300</xdr:rowOff>
    </xdr:to>
    <xdr:pic>
      <xdr:nvPicPr>
        <xdr:cNvPr id="4" name="Picture 3" descr="p="/>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71500" y="2905125"/>
          <a:ext cx="2409825"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600075</xdr:colOff>
      <xdr:row>16</xdr:row>
      <xdr:rowOff>104775</xdr:rowOff>
    </xdr:from>
    <xdr:to>
      <xdr:col>2</xdr:col>
      <xdr:colOff>95250</xdr:colOff>
      <xdr:row>19</xdr:row>
      <xdr:rowOff>28575</xdr:rowOff>
    </xdr:to>
    <xdr:pic>
      <xdr:nvPicPr>
        <xdr:cNvPr id="5" name="Picture 4" descr="d1="/>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00075" y="3257550"/>
          <a:ext cx="17716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600075</xdr:colOff>
      <xdr:row>20</xdr:row>
      <xdr:rowOff>57150</xdr:rowOff>
    </xdr:from>
    <xdr:to>
      <xdr:col>1</xdr:col>
      <xdr:colOff>228600</xdr:colOff>
      <xdr:row>21</xdr:row>
      <xdr:rowOff>38100</xdr:rowOff>
    </xdr:to>
    <xdr:pic>
      <xdr:nvPicPr>
        <xdr:cNvPr id="6" name="Picture 5" descr="d2="/>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00075" y="3971925"/>
          <a:ext cx="99060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27</xdr:row>
      <xdr:rowOff>161925</xdr:rowOff>
    </xdr:from>
    <xdr:to>
      <xdr:col>13</xdr:col>
      <xdr:colOff>9524</xdr:colOff>
      <xdr:row>30</xdr:row>
      <xdr:rowOff>180975</xdr:rowOff>
    </xdr:to>
    <xdr:sp macro="" textlink="">
      <xdr:nvSpPr>
        <xdr:cNvPr id="8" name="TextBox 7"/>
        <xdr:cNvSpPr txBox="1"/>
      </xdr:nvSpPr>
      <xdr:spPr>
        <a:xfrm>
          <a:off x="0" y="5410200"/>
          <a:ext cx="11915774" cy="590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i="1"/>
            <a:t>The Black-Scholes model implementation</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20</xdr:col>
      <xdr:colOff>333374</xdr:colOff>
      <xdr:row>3</xdr:row>
      <xdr:rowOff>0</xdr:rowOff>
    </xdr:to>
    <xdr:sp macro="" textlink="">
      <xdr:nvSpPr>
        <xdr:cNvPr id="2" name="TextBox 1"/>
        <xdr:cNvSpPr txBox="1"/>
      </xdr:nvSpPr>
      <xdr:spPr>
        <a:xfrm>
          <a:off x="0" y="0"/>
          <a:ext cx="12372974" cy="5715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i="1"/>
            <a:t>Microsoft stock price from Yahoo Finance</a:t>
          </a:r>
        </a:p>
      </xdr:txBody>
    </xdr:sp>
    <xdr:clientData/>
  </xdr:twoCellAnchor>
  <xdr:twoCellAnchor>
    <xdr:from>
      <xdr:col>9</xdr:col>
      <xdr:colOff>38100</xdr:colOff>
      <xdr:row>7</xdr:row>
      <xdr:rowOff>4762</xdr:rowOff>
    </xdr:from>
    <xdr:to>
      <xdr:col>16</xdr:col>
      <xdr:colOff>28575</xdr:colOff>
      <xdr:row>22</xdr:row>
      <xdr:rowOff>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609599</xdr:colOff>
      <xdr:row>26</xdr:row>
      <xdr:rowOff>0</xdr:rowOff>
    </xdr:from>
    <xdr:to>
      <xdr:col>20</xdr:col>
      <xdr:colOff>9524</xdr:colOff>
      <xdr:row>28</xdr:row>
      <xdr:rowOff>180975</xdr:rowOff>
    </xdr:to>
    <xdr:sp macro="" textlink="">
      <xdr:nvSpPr>
        <xdr:cNvPr id="4" name="TextBox 3"/>
        <xdr:cNvSpPr txBox="1"/>
      </xdr:nvSpPr>
      <xdr:spPr>
        <a:xfrm>
          <a:off x="5333999" y="4953000"/>
          <a:ext cx="8010525" cy="561975"/>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b="1" i="1"/>
            <a:t>Call &amp; Put</a:t>
          </a:r>
          <a:r>
            <a:rPr lang="en-US" sz="2000" b="1" i="1" baseline="0"/>
            <a:t> options price calculation</a:t>
          </a:r>
          <a:endParaRPr lang="en-US" sz="2000" b="1" i="1"/>
        </a:p>
      </xdr:txBody>
    </xdr:sp>
    <xdr:clientData/>
  </xdr:twoCellAnchor>
  <xdr:twoCellAnchor>
    <xdr:from>
      <xdr:col>9</xdr:col>
      <xdr:colOff>0</xdr:colOff>
      <xdr:row>34</xdr:row>
      <xdr:rowOff>9525</xdr:rowOff>
    </xdr:from>
    <xdr:to>
      <xdr:col>20</xdr:col>
      <xdr:colOff>9525</xdr:colOff>
      <xdr:row>41</xdr:row>
      <xdr:rowOff>180975</xdr:rowOff>
    </xdr:to>
    <xdr:sp macro="" textlink="">
      <xdr:nvSpPr>
        <xdr:cNvPr id="5" name="TextBox 4"/>
        <xdr:cNvSpPr txBox="1"/>
      </xdr:nvSpPr>
      <xdr:spPr>
        <a:xfrm>
          <a:off x="6105525" y="6486525"/>
          <a:ext cx="8705850" cy="1504950"/>
        </a:xfrm>
        <a:prstGeom prst="rect">
          <a:avLst/>
        </a:prstGeom>
        <a:solidFill>
          <a:srgbClr val="CCEC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400" b="0" i="0" u="none" strike="noStrike">
              <a:solidFill>
                <a:schemeClr val="dk1"/>
              </a:solidFill>
              <a:effectLst/>
              <a:latin typeface="+mn-lt"/>
              <a:ea typeface="+mn-ea"/>
              <a:cs typeface="+mn-cs"/>
            </a:rPr>
            <a:t>Step 1</a:t>
          </a:r>
          <a:r>
            <a:rPr lang="en-US" sz="1400"/>
            <a:t> - </a:t>
          </a:r>
          <a:r>
            <a:rPr lang="en-US" sz="1400" b="0" i="0">
              <a:solidFill>
                <a:schemeClr val="dk1"/>
              </a:solidFill>
              <a:effectLst/>
              <a:latin typeface="+mn-lt"/>
              <a:ea typeface="+mn-ea"/>
              <a:cs typeface="+mn-cs"/>
            </a:rPr>
            <a:t>Go To  Sheet name "The Black-Scholes model"</a:t>
          </a:r>
          <a:r>
            <a:rPr lang="en-US" sz="1400">
              <a:solidFill>
                <a:schemeClr val="dk1"/>
              </a:solidFill>
              <a:effectLst/>
              <a:latin typeface="+mn-lt"/>
              <a:ea typeface="+mn-ea"/>
              <a:cs typeface="+mn-cs"/>
            </a:rPr>
            <a:t> </a:t>
          </a:r>
          <a:endParaRPr lang="en-US" sz="14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400" b="0" i="0">
              <a:solidFill>
                <a:schemeClr val="dk1"/>
              </a:solidFill>
              <a:effectLst/>
              <a:latin typeface="+mn-lt"/>
              <a:ea typeface="+mn-ea"/>
              <a:cs typeface="+mn-cs"/>
            </a:rPr>
            <a:t>Step 2 - Fill model parameters</a:t>
          </a:r>
          <a:r>
            <a:rPr lang="en-US" sz="1400">
              <a:solidFill>
                <a:schemeClr val="dk1"/>
              </a:solidFill>
              <a:effectLst/>
              <a:latin typeface="+mn-lt"/>
              <a:ea typeface="+mn-ea"/>
              <a:cs typeface="+mn-cs"/>
            </a:rPr>
            <a:t> </a:t>
          </a:r>
          <a:endParaRPr lang="en-US" sz="1400" b="0" i="0">
            <a:solidFill>
              <a:schemeClr val="dk1"/>
            </a:solidFill>
            <a:effectLst/>
            <a:latin typeface="+mn-lt"/>
            <a:ea typeface="+mn-ea"/>
            <a:cs typeface="+mn-cs"/>
          </a:endParaRPr>
        </a:p>
        <a:p>
          <a:r>
            <a:rPr lang="en-US" sz="1400" b="0" i="0" u="none" strike="noStrike">
              <a:solidFill>
                <a:schemeClr val="dk1"/>
              </a:solidFill>
              <a:effectLst/>
              <a:latin typeface="+mn-lt"/>
              <a:ea typeface="+mn-ea"/>
              <a:cs typeface="+mn-cs"/>
            </a:rPr>
            <a:t>Step 3 -</a:t>
          </a:r>
          <a:r>
            <a:rPr lang="en-US" sz="1400"/>
            <a:t> </a:t>
          </a:r>
          <a:r>
            <a:rPr lang="en-US" sz="1400" b="0" i="0" u="none" strike="noStrike">
              <a:solidFill>
                <a:schemeClr val="dk1"/>
              </a:solidFill>
              <a:effectLst/>
              <a:latin typeface="+mn-lt"/>
              <a:ea typeface="+mn-ea"/>
              <a:cs typeface="+mn-cs"/>
            </a:rPr>
            <a:t>Find result data</a:t>
          </a:r>
          <a:r>
            <a:rPr lang="en-US" sz="1400"/>
            <a:t>   </a:t>
          </a:r>
        </a:p>
        <a:p>
          <a:r>
            <a:rPr lang="en-US" sz="1400"/>
            <a:t>Step 4 - </a:t>
          </a:r>
          <a:r>
            <a:rPr lang="en-US" sz="1400" b="0" i="0">
              <a:solidFill>
                <a:schemeClr val="dk1"/>
              </a:solidFill>
              <a:effectLst/>
              <a:latin typeface="+mn-lt"/>
              <a:ea typeface="+mn-ea"/>
              <a:cs typeface="+mn-cs"/>
            </a:rPr>
            <a:t>Go To  Sheet name "Binomial Model" </a:t>
          </a:r>
        </a:p>
        <a:p>
          <a:r>
            <a:rPr lang="en-US" sz="1400" b="0" i="0">
              <a:solidFill>
                <a:schemeClr val="dk1"/>
              </a:solidFill>
              <a:effectLst/>
              <a:latin typeface="+mn-lt"/>
              <a:ea typeface="+mn-ea"/>
              <a:cs typeface="+mn-cs"/>
            </a:rPr>
            <a:t>Step 5 - Fill model</a:t>
          </a:r>
          <a:r>
            <a:rPr lang="en-US" sz="1400" b="0" i="0" baseline="0">
              <a:solidFill>
                <a:schemeClr val="dk1"/>
              </a:solidFill>
              <a:effectLst/>
              <a:latin typeface="+mn-lt"/>
              <a:ea typeface="+mn-ea"/>
              <a:cs typeface="+mn-cs"/>
            </a:rPr>
            <a:t> parameters</a:t>
          </a:r>
        </a:p>
        <a:p>
          <a:r>
            <a:rPr lang="en-US" sz="1400" b="0" i="0" baseline="0">
              <a:solidFill>
                <a:schemeClr val="dk1"/>
              </a:solidFill>
              <a:effectLst/>
              <a:latin typeface="+mn-lt"/>
              <a:ea typeface="+mn-ea"/>
              <a:cs typeface="+mn-cs"/>
            </a:rPr>
            <a:t>Step 6 - Find result data</a:t>
          </a:r>
          <a:endParaRPr lang="en-US" sz="1400" b="0" i="0">
            <a:solidFill>
              <a:schemeClr val="dk1"/>
            </a:solidFill>
            <a:effectLst/>
            <a:latin typeface="+mn-lt"/>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17</xdr:col>
      <xdr:colOff>9524</xdr:colOff>
      <xdr:row>21</xdr:row>
      <xdr:rowOff>19050</xdr:rowOff>
    </xdr:to>
    <xdr:sp macro="" textlink="">
      <xdr:nvSpPr>
        <xdr:cNvPr id="2" name="TextBox 1"/>
        <xdr:cNvSpPr txBox="1"/>
      </xdr:nvSpPr>
      <xdr:spPr>
        <a:xfrm>
          <a:off x="0" y="0"/>
          <a:ext cx="10372724" cy="4095750"/>
        </a:xfrm>
        <a:prstGeom prst="rect">
          <a:avLst/>
        </a:prstGeom>
        <a:solidFill>
          <a:sysClr val="window" lastClr="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Binimial Option</a:t>
          </a:r>
          <a:r>
            <a:rPr lang="en-US" sz="1100" baseline="0"/>
            <a:t> Pricing Model - </a:t>
          </a:r>
          <a:r>
            <a:rPr lang="en-US" sz="1100" b="0" i="0">
              <a:solidFill>
                <a:schemeClr val="dk1"/>
              </a:solidFill>
              <a:effectLst/>
              <a:latin typeface="+mn-lt"/>
              <a:ea typeface="+mn-ea"/>
              <a:cs typeface="+mn-cs"/>
            </a:rPr>
            <a:t>is an options valuation discrete model. </a:t>
          </a:r>
        </a:p>
        <a:p>
          <a:r>
            <a:rPr lang="en-US" sz="1100" b="0" i="0">
              <a:solidFill>
                <a:schemeClr val="dk1"/>
              </a:solidFill>
              <a:effectLst/>
              <a:latin typeface="+mn-lt"/>
              <a:ea typeface="+mn-ea"/>
              <a:cs typeface="+mn-cs"/>
            </a:rPr>
            <a:t>This makes BOPM a very useful tool in valuing American-style and exotic options that can be exercised before the expiry date.</a:t>
          </a: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Model</a:t>
          </a:r>
          <a:r>
            <a:rPr lang="en-US" sz="1100" b="0" i="0" baseline="0">
              <a:solidFill>
                <a:schemeClr val="dk1"/>
              </a:solidFill>
              <a:effectLst/>
              <a:latin typeface="+mn-lt"/>
              <a:ea typeface="+mn-ea"/>
              <a:cs typeface="+mn-cs"/>
            </a:rPr>
            <a:t> Parameters:</a:t>
          </a:r>
        </a:p>
        <a:p>
          <a:pPr marL="457200" marR="0" lvl="1" indent="0" defTabSz="914400" eaLnBrk="1" fontAlgn="auto" latinLnBrk="0" hangingPunct="1">
            <a:lnSpc>
              <a:spcPct val="100000"/>
            </a:lnSpc>
            <a:spcBef>
              <a:spcPts val="0"/>
            </a:spcBef>
            <a:spcAft>
              <a:spcPts val="0"/>
            </a:spcAft>
            <a:buClrTx/>
            <a:buSzTx/>
            <a:buFontTx/>
            <a:buNone/>
            <a:tabLst/>
            <a:defRPr/>
          </a:pPr>
          <a:r>
            <a:rPr lang="en-US" sz="1100" b="0" i="0">
              <a:solidFill>
                <a:schemeClr val="dk1"/>
              </a:solidFill>
              <a:effectLst/>
              <a:latin typeface="+mn-lt"/>
              <a:ea typeface="+mn-ea"/>
              <a:cs typeface="+mn-cs"/>
            </a:rPr>
            <a:t>S</a:t>
          </a:r>
          <a:r>
            <a:rPr lang="en-US" sz="1100" b="0" i="0" baseline="-25000">
              <a:solidFill>
                <a:schemeClr val="dk1"/>
              </a:solidFill>
              <a:effectLst/>
              <a:latin typeface="+mn-lt"/>
              <a:ea typeface="+mn-ea"/>
              <a:cs typeface="+mn-cs"/>
            </a:rPr>
            <a:t>0</a:t>
          </a:r>
          <a:r>
            <a:rPr lang="en-US" sz="1100" b="0" i="0" baseline="0">
              <a:solidFill>
                <a:schemeClr val="dk1"/>
              </a:solidFill>
              <a:effectLst/>
              <a:latin typeface="+mn-lt"/>
              <a:ea typeface="+mn-ea"/>
              <a:cs typeface="+mn-cs"/>
            </a:rPr>
            <a:t>  -  </a:t>
          </a:r>
          <a:r>
            <a:rPr lang="en-US" sz="1100" b="0" i="0" u="none" strike="noStrike">
              <a:solidFill>
                <a:schemeClr val="dk1"/>
              </a:solidFill>
              <a:effectLst/>
              <a:latin typeface="+mn-lt"/>
              <a:ea typeface="+mn-ea"/>
              <a:cs typeface="+mn-cs"/>
            </a:rPr>
            <a:t>Stock Price </a:t>
          </a:r>
          <a:r>
            <a:rPr lang="en-US"/>
            <a:t> </a:t>
          </a:r>
          <a:endParaRPr lang="en-US" sz="1100" b="0" i="0" u="none" strike="noStrike">
            <a:solidFill>
              <a:schemeClr val="dk1"/>
            </a:solidFill>
            <a:effectLst/>
            <a:latin typeface="+mn-lt"/>
            <a:ea typeface="+mn-ea"/>
            <a:cs typeface="+mn-cs"/>
          </a:endParaRPr>
        </a:p>
        <a:p>
          <a:pPr lvl="1"/>
          <a:r>
            <a:rPr lang="en-US" sz="1100" b="0" i="0">
              <a:solidFill>
                <a:schemeClr val="dk1"/>
              </a:solidFill>
              <a:effectLst/>
              <a:latin typeface="+mn-lt"/>
              <a:ea typeface="+mn-ea"/>
              <a:cs typeface="+mn-cs"/>
            </a:rPr>
            <a:t>X   -</a:t>
          </a:r>
          <a:r>
            <a:rPr lang="en-US" sz="1100" b="0" i="0"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Exercise Price </a:t>
          </a:r>
          <a:r>
            <a:rPr lang="en-US"/>
            <a:t> </a:t>
          </a:r>
          <a:endParaRPr lang="en-US" sz="1100" b="0" i="0" u="none" strike="noStrike">
            <a:solidFill>
              <a:schemeClr val="dk1"/>
            </a:solidFill>
            <a:effectLst/>
            <a:latin typeface="+mn-lt"/>
            <a:ea typeface="+mn-ea"/>
            <a:cs typeface="+mn-cs"/>
          </a:endParaRPr>
        </a:p>
        <a:p>
          <a:pPr lvl="1"/>
          <a:r>
            <a:rPr lang="en-US" sz="1100" b="0" i="0" u="none" strike="noStrike">
              <a:solidFill>
                <a:schemeClr val="dk1"/>
              </a:solidFill>
              <a:effectLst/>
              <a:latin typeface="+mn-lt"/>
              <a:ea typeface="+mn-ea"/>
              <a:cs typeface="+mn-cs"/>
            </a:rPr>
            <a:t>r    -  Interest Rate</a:t>
          </a:r>
        </a:p>
        <a:p>
          <a:pPr lvl="1"/>
          <a:r>
            <a:rPr lang="el-GR" sz="1100" b="0" i="0">
              <a:solidFill>
                <a:schemeClr val="dk1"/>
              </a:solidFill>
              <a:effectLst/>
              <a:latin typeface="+mn-lt"/>
              <a:ea typeface="+mn-ea"/>
              <a:cs typeface="+mn-cs"/>
            </a:rPr>
            <a:t>σ</a:t>
          </a:r>
          <a:r>
            <a:rPr lang="en-US" sz="1100" b="0" i="0" u="none" strike="noStrike">
              <a:solidFill>
                <a:schemeClr val="dk1"/>
              </a:solidFill>
              <a:effectLst/>
              <a:latin typeface="+mn-lt"/>
              <a:ea typeface="+mn-ea"/>
              <a:cs typeface="+mn-cs"/>
            </a:rPr>
            <a:t>    -  Volatility</a:t>
          </a:r>
          <a:r>
            <a:rPr lang="en-US"/>
            <a:t> </a:t>
          </a:r>
          <a:endParaRPr lang="en-US" sz="1100" b="0" i="0" u="none" strike="noStrike">
            <a:solidFill>
              <a:schemeClr val="dk1"/>
            </a:solidFill>
            <a:effectLst/>
            <a:latin typeface="+mn-lt"/>
            <a:ea typeface="+mn-ea"/>
            <a:cs typeface="+mn-cs"/>
          </a:endParaRPr>
        </a:p>
        <a:p>
          <a:pPr lvl="1"/>
          <a:r>
            <a:rPr lang="en-US" sz="1100" b="0" i="0" u="none" strike="noStrike">
              <a:solidFill>
                <a:schemeClr val="dk1"/>
              </a:solidFill>
              <a:effectLst/>
              <a:latin typeface="+mn-lt"/>
              <a:ea typeface="+mn-ea"/>
              <a:cs typeface="+mn-cs"/>
            </a:rPr>
            <a:t>t   -  Time to Maturity</a:t>
          </a:r>
          <a:r>
            <a:rPr lang="en-US"/>
            <a:t> </a:t>
          </a:r>
          <a:endParaRPr lang="en-US" sz="1100" b="0" i="0" u="none" strike="noStrike">
            <a:solidFill>
              <a:schemeClr val="dk1"/>
            </a:solidFill>
            <a:effectLst/>
            <a:latin typeface="+mn-lt"/>
            <a:ea typeface="+mn-ea"/>
            <a:cs typeface="+mn-cs"/>
          </a:endParaRPr>
        </a:p>
        <a:p>
          <a:pPr lvl="1"/>
          <a:r>
            <a:rPr lang="en-US" sz="1100" b="0" i="0" u="none" strike="noStrike">
              <a:solidFill>
                <a:schemeClr val="dk1"/>
              </a:solidFill>
              <a:effectLst/>
              <a:latin typeface="+mn-lt"/>
              <a:ea typeface="+mn-ea"/>
              <a:cs typeface="+mn-cs"/>
            </a:rPr>
            <a:t>N</a:t>
          </a:r>
          <a:r>
            <a:rPr lang="en-US" sz="1100" b="0" i="0" u="none" strike="noStrike" baseline="0">
              <a:solidFill>
                <a:schemeClr val="dk1"/>
              </a:solidFill>
              <a:effectLst/>
              <a:latin typeface="+mn-lt"/>
              <a:ea typeface="+mn-ea"/>
              <a:cs typeface="+mn-cs"/>
            </a:rPr>
            <a:t>  -  </a:t>
          </a:r>
          <a:r>
            <a:rPr lang="en-US" sz="1100" b="0" i="0" u="none" strike="noStrike">
              <a:solidFill>
                <a:schemeClr val="dk1"/>
              </a:solidFill>
              <a:effectLst/>
              <a:latin typeface="+mn-lt"/>
              <a:ea typeface="+mn-ea"/>
              <a:cs typeface="+mn-cs"/>
            </a:rPr>
            <a:t>Number of Steps</a:t>
          </a:r>
          <a:r>
            <a:rPr lang="en-US"/>
            <a:t> </a:t>
          </a:r>
          <a:endParaRPr lang="en-US" sz="1100" b="0" i="0" u="none" strike="noStrike">
            <a:solidFill>
              <a:schemeClr val="dk1"/>
            </a:solidFill>
            <a:effectLst/>
            <a:latin typeface="+mn-lt"/>
            <a:ea typeface="+mn-ea"/>
            <a:cs typeface="+mn-cs"/>
          </a:endParaRPr>
        </a:p>
        <a:p>
          <a:pPr lvl="1"/>
          <a:r>
            <a:rPr lang="en-US" sz="1100" b="0" i="0" u="none" strike="noStrike">
              <a:solidFill>
                <a:schemeClr val="dk1"/>
              </a:solidFill>
              <a:effectLst/>
              <a:latin typeface="+mn-lt"/>
              <a:ea typeface="+mn-ea"/>
              <a:cs typeface="+mn-cs"/>
            </a:rPr>
            <a:t>D  -</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Dividend Yield</a:t>
          </a:r>
          <a:r>
            <a:rPr lang="en-US"/>
            <a:t> </a:t>
          </a:r>
          <a:endParaRPr lang="en-US" sz="1100" b="0" i="0">
            <a:solidFill>
              <a:schemeClr val="dk1"/>
            </a:solidFill>
            <a:effectLst/>
            <a:latin typeface="+mn-lt"/>
            <a:ea typeface="+mn-ea"/>
            <a:cs typeface="+mn-cs"/>
          </a:endParaRPr>
        </a:p>
        <a:p>
          <a:endParaRPr lang="en-US" sz="1100" b="0"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0" i="0">
              <a:solidFill>
                <a:schemeClr val="dk1"/>
              </a:solidFill>
              <a:effectLst/>
              <a:latin typeface="+mn-lt"/>
              <a:ea typeface="+mn-ea"/>
              <a:cs typeface="+mn-cs"/>
            </a:rPr>
            <a:t>The up move and down move factor are calculated as: </a:t>
          </a:r>
        </a:p>
        <a:p>
          <a:endParaRPr lang="en-US" sz="1100"/>
        </a:p>
        <a:p>
          <a:endParaRPr lang="en-US" sz="1100"/>
        </a:p>
        <a:p>
          <a:endParaRPr lang="en-US" sz="1100"/>
        </a:p>
        <a:p>
          <a:endParaRPr lang="en-US" sz="1100"/>
        </a:p>
        <a:p>
          <a:endParaRPr lang="en-US" sz="1100"/>
        </a:p>
        <a:p>
          <a:r>
            <a:rPr lang="en-US" sz="1100"/>
            <a:t>	</a:t>
          </a:r>
          <a:r>
            <a:rPr lang="en-US" sz="1100" baseline="0"/>
            <a:t>             -  - UP </a:t>
          </a:r>
        </a:p>
        <a:p>
          <a:endParaRPr lang="en-US" sz="1100" baseline="0"/>
        </a:p>
        <a:p>
          <a:r>
            <a:rPr lang="en-US" sz="1100" baseline="0"/>
            <a:t>	             -  </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	                - DOWN</a:t>
          </a:r>
        </a:p>
        <a:p>
          <a:endParaRPr lang="en-US" sz="1100" baseline="0"/>
        </a:p>
      </xdr:txBody>
    </xdr:sp>
    <xdr:clientData/>
  </xdr:twoCellAnchor>
  <xdr:twoCellAnchor editAs="oneCell">
    <xdr:from>
      <xdr:col>0</xdr:col>
      <xdr:colOff>457200</xdr:colOff>
      <xdr:row>12</xdr:row>
      <xdr:rowOff>104775</xdr:rowOff>
    </xdr:from>
    <xdr:to>
      <xdr:col>1</xdr:col>
      <xdr:colOff>419100</xdr:colOff>
      <xdr:row>19</xdr:row>
      <xdr:rowOff>104775</xdr:rowOff>
    </xdr:to>
    <xdr:pic>
      <xdr:nvPicPr>
        <xdr:cNvPr id="6" name="Picture 5" descr="Cox Ross and Rubenstein Model"/>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57200" y="2428875"/>
          <a:ext cx="1038225" cy="1371600"/>
        </a:xfrm>
        <a:prstGeom prst="rect">
          <a:avLst/>
        </a:prstGeom>
        <a:solidFill>
          <a:sysClr val="window" lastClr="FFFFFF"/>
        </a:solidFill>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16</xdr:col>
      <xdr:colOff>0</xdr:colOff>
      <xdr:row>2</xdr:row>
      <xdr:rowOff>180974</xdr:rowOff>
    </xdr:to>
    <xdr:sp macro="" textlink="">
      <xdr:nvSpPr>
        <xdr:cNvPr id="2" name="TextBox 1"/>
        <xdr:cNvSpPr txBox="1"/>
      </xdr:nvSpPr>
      <xdr:spPr>
        <a:xfrm>
          <a:off x="0" y="0"/>
          <a:ext cx="9020175" cy="561974"/>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i="1"/>
            <a:t>Oil price and</a:t>
          </a:r>
          <a:r>
            <a:rPr lang="en-US" sz="2400" b="1" i="1" baseline="0"/>
            <a:t> factors</a:t>
          </a:r>
          <a:endParaRPr lang="en-US" sz="2400" b="1" i="1"/>
        </a:p>
      </xdr:txBody>
    </xdr:sp>
    <xdr:clientData/>
  </xdr:twoCellAnchor>
  <xdr:twoCellAnchor>
    <xdr:from>
      <xdr:col>4</xdr:col>
      <xdr:colOff>19050</xdr:colOff>
      <xdr:row>3</xdr:row>
      <xdr:rowOff>0</xdr:rowOff>
    </xdr:from>
    <xdr:to>
      <xdr:col>16</xdr:col>
      <xdr:colOff>0</xdr:colOff>
      <xdr:row>23</xdr:row>
      <xdr:rowOff>19050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0</xdr:colOff>
      <xdr:row>35</xdr:row>
      <xdr:rowOff>19050</xdr:rowOff>
    </xdr:from>
    <xdr:to>
      <xdr:col>17</xdr:col>
      <xdr:colOff>9525</xdr:colOff>
      <xdr:row>52</xdr:row>
      <xdr:rowOff>142455</xdr:rowOff>
    </xdr:to>
    <xdr:pic>
      <xdr:nvPicPr>
        <xdr:cNvPr id="3" name="Picture 2"/>
        <xdr:cNvPicPr>
          <a:picLocks noChangeAspect="1"/>
        </xdr:cNvPicPr>
      </xdr:nvPicPr>
      <xdr:blipFill>
        <a:blip xmlns:r="http://schemas.openxmlformats.org/officeDocument/2006/relationships" r:embed="rId2"/>
        <a:stretch>
          <a:fillRect/>
        </a:stretch>
      </xdr:blipFill>
      <xdr:spPr>
        <a:xfrm>
          <a:off x="2314575" y="6686550"/>
          <a:ext cx="7324725" cy="3361905"/>
        </a:xfrm>
        <a:prstGeom prst="rect">
          <a:avLst/>
        </a:prstGeom>
      </xdr:spPr>
    </xdr:pic>
    <xdr:clientData/>
  </xdr:twoCellAnchor>
  <xdr:twoCellAnchor editAs="oneCell">
    <xdr:from>
      <xdr:col>5</xdr:col>
      <xdr:colOff>19050</xdr:colOff>
      <xdr:row>55</xdr:row>
      <xdr:rowOff>19050</xdr:rowOff>
    </xdr:from>
    <xdr:to>
      <xdr:col>17</xdr:col>
      <xdr:colOff>19050</xdr:colOff>
      <xdr:row>71</xdr:row>
      <xdr:rowOff>190098</xdr:rowOff>
    </xdr:to>
    <xdr:pic>
      <xdr:nvPicPr>
        <xdr:cNvPr id="5" name="Picture 4"/>
        <xdr:cNvPicPr>
          <a:picLocks noChangeAspect="1"/>
        </xdr:cNvPicPr>
      </xdr:nvPicPr>
      <xdr:blipFill>
        <a:blip xmlns:r="http://schemas.openxmlformats.org/officeDocument/2006/relationships" r:embed="rId3"/>
        <a:stretch>
          <a:fillRect/>
        </a:stretch>
      </xdr:blipFill>
      <xdr:spPr>
        <a:xfrm>
          <a:off x="2333625" y="10496550"/>
          <a:ext cx="7315200" cy="3219048"/>
        </a:xfrm>
        <a:prstGeom prst="rect">
          <a:avLst/>
        </a:prstGeom>
      </xdr:spPr>
    </xdr:pic>
    <xdr:clientData/>
  </xdr:twoCellAnchor>
  <xdr:twoCellAnchor editAs="oneCell">
    <xdr:from>
      <xdr:col>14</xdr:col>
      <xdr:colOff>19050</xdr:colOff>
      <xdr:row>111</xdr:row>
      <xdr:rowOff>47625</xdr:rowOff>
    </xdr:from>
    <xdr:to>
      <xdr:col>23</xdr:col>
      <xdr:colOff>170745</xdr:colOff>
      <xdr:row>127</xdr:row>
      <xdr:rowOff>47244</xdr:rowOff>
    </xdr:to>
    <xdr:pic>
      <xdr:nvPicPr>
        <xdr:cNvPr id="7" name="Picture 6"/>
        <xdr:cNvPicPr>
          <a:picLocks noChangeAspect="1"/>
        </xdr:cNvPicPr>
      </xdr:nvPicPr>
      <xdr:blipFill>
        <a:blip xmlns:r="http://schemas.openxmlformats.org/officeDocument/2006/relationships" r:embed="rId4"/>
        <a:stretch>
          <a:fillRect/>
        </a:stretch>
      </xdr:blipFill>
      <xdr:spPr>
        <a:xfrm>
          <a:off x="7820025" y="21193125"/>
          <a:ext cx="5638095" cy="3047619"/>
        </a:xfrm>
        <a:prstGeom prst="rect">
          <a:avLst/>
        </a:prstGeom>
      </xdr:spPr>
    </xdr:pic>
    <xdr:clientData/>
  </xdr:twoCellAnchor>
  <xdr:twoCellAnchor editAs="oneCell">
    <xdr:from>
      <xdr:col>5</xdr:col>
      <xdr:colOff>9525</xdr:colOff>
      <xdr:row>127</xdr:row>
      <xdr:rowOff>28575</xdr:rowOff>
    </xdr:from>
    <xdr:to>
      <xdr:col>14</xdr:col>
      <xdr:colOff>561220</xdr:colOff>
      <xdr:row>142</xdr:row>
      <xdr:rowOff>56789</xdr:rowOff>
    </xdr:to>
    <xdr:pic>
      <xdr:nvPicPr>
        <xdr:cNvPr id="8" name="Picture 7"/>
        <xdr:cNvPicPr>
          <a:picLocks noChangeAspect="1"/>
        </xdr:cNvPicPr>
      </xdr:nvPicPr>
      <xdr:blipFill>
        <a:blip xmlns:r="http://schemas.openxmlformats.org/officeDocument/2006/relationships" r:embed="rId5"/>
        <a:stretch>
          <a:fillRect/>
        </a:stretch>
      </xdr:blipFill>
      <xdr:spPr>
        <a:xfrm>
          <a:off x="2324100" y="24222075"/>
          <a:ext cx="6038095" cy="2885714"/>
        </a:xfrm>
        <a:prstGeom prst="rect">
          <a:avLst/>
        </a:prstGeom>
      </xdr:spPr>
    </xdr:pic>
    <xdr:clientData/>
  </xdr:twoCellAnchor>
  <xdr:twoCellAnchor>
    <xdr:from>
      <xdr:col>7</xdr:col>
      <xdr:colOff>19050</xdr:colOff>
      <xdr:row>23</xdr:row>
      <xdr:rowOff>171450</xdr:rowOff>
    </xdr:from>
    <xdr:to>
      <xdr:col>16</xdr:col>
      <xdr:colOff>0</xdr:colOff>
      <xdr:row>26</xdr:row>
      <xdr:rowOff>19049</xdr:rowOff>
    </xdr:to>
    <xdr:sp macro="" textlink="">
      <xdr:nvSpPr>
        <xdr:cNvPr id="9" name="TextBox 8"/>
        <xdr:cNvSpPr txBox="1"/>
      </xdr:nvSpPr>
      <xdr:spPr>
        <a:xfrm>
          <a:off x="3552825" y="4552950"/>
          <a:ext cx="5467350" cy="4190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Significant drop is obvious</a:t>
          </a:r>
        </a:p>
      </xdr:txBody>
    </xdr:sp>
    <xdr:clientData/>
  </xdr:twoCellAnchor>
  <xdr:twoCellAnchor>
    <xdr:from>
      <xdr:col>5</xdr:col>
      <xdr:colOff>9525</xdr:colOff>
      <xdr:row>28</xdr:row>
      <xdr:rowOff>142875</xdr:rowOff>
    </xdr:from>
    <xdr:to>
      <xdr:col>16</xdr:col>
      <xdr:colOff>600075</xdr:colOff>
      <xdr:row>30</xdr:row>
      <xdr:rowOff>180974</xdr:rowOff>
    </xdr:to>
    <xdr:sp macro="" textlink="">
      <xdr:nvSpPr>
        <xdr:cNvPr id="10" name="TextBox 9"/>
        <xdr:cNvSpPr txBox="1"/>
      </xdr:nvSpPr>
      <xdr:spPr>
        <a:xfrm>
          <a:off x="2324100" y="5476875"/>
          <a:ext cx="7296150" cy="419099"/>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1" i="1"/>
            <a:t>Factors</a:t>
          </a:r>
          <a:r>
            <a:rPr lang="en-US" sz="1800" b="1" i="1" baseline="0"/>
            <a:t> that influenced the oil price:</a:t>
          </a:r>
        </a:p>
        <a:p>
          <a:pPr algn="ctr"/>
          <a:endParaRPr lang="en-US" sz="1800" b="1" i="1"/>
        </a:p>
      </xdr:txBody>
    </xdr:sp>
    <xdr:clientData/>
  </xdr:twoCellAnchor>
  <xdr:twoCellAnchor>
    <xdr:from>
      <xdr:col>5</xdr:col>
      <xdr:colOff>9524</xdr:colOff>
      <xdr:row>31</xdr:row>
      <xdr:rowOff>152400</xdr:rowOff>
    </xdr:from>
    <xdr:to>
      <xdr:col>16</xdr:col>
      <xdr:colOff>609599</xdr:colOff>
      <xdr:row>34</xdr:row>
      <xdr:rowOff>0</xdr:rowOff>
    </xdr:to>
    <xdr:sp macro="" textlink="">
      <xdr:nvSpPr>
        <xdr:cNvPr id="11" name="TextBox 10"/>
        <xdr:cNvSpPr txBox="1"/>
      </xdr:nvSpPr>
      <xdr:spPr>
        <a:xfrm>
          <a:off x="2324099" y="6057900"/>
          <a:ext cx="7305675" cy="419100"/>
        </a:xfrm>
        <a:prstGeom prst="rect">
          <a:avLst/>
        </a:prstGeom>
        <a:solidFill>
          <a:srgbClr val="9BFD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0" i="0" u="none" strike="noStrike">
              <a:solidFill>
                <a:schemeClr val="dk1"/>
              </a:solidFill>
              <a:effectLst/>
              <a:latin typeface="+mn-lt"/>
              <a:ea typeface="+mn-ea"/>
              <a:cs typeface="+mn-cs"/>
            </a:rPr>
            <a:t>1.</a:t>
          </a:r>
          <a:r>
            <a:rPr lang="en-US" sz="1600"/>
            <a:t>  </a:t>
          </a:r>
          <a:r>
            <a:rPr lang="en-US" sz="1600" b="0" i="1" u="none" strike="noStrike">
              <a:solidFill>
                <a:schemeClr val="dk1"/>
              </a:solidFill>
              <a:effectLst/>
              <a:latin typeface="+mn-lt"/>
              <a:ea typeface="+mn-ea"/>
              <a:cs typeface="+mn-cs"/>
            </a:rPr>
            <a:t>Decrease in oil demand in Europe and China due to slowdown of economy</a:t>
          </a:r>
          <a:r>
            <a:rPr lang="en-US" sz="1600" i="1"/>
            <a:t> </a:t>
          </a:r>
        </a:p>
      </xdr:txBody>
    </xdr:sp>
    <xdr:clientData/>
  </xdr:twoCellAnchor>
  <xdr:twoCellAnchor>
    <xdr:from>
      <xdr:col>5</xdr:col>
      <xdr:colOff>0</xdr:colOff>
      <xdr:row>75</xdr:row>
      <xdr:rowOff>19050</xdr:rowOff>
    </xdr:from>
    <xdr:to>
      <xdr:col>16</xdr:col>
      <xdr:colOff>600075</xdr:colOff>
      <xdr:row>77</xdr:row>
      <xdr:rowOff>57150</xdr:rowOff>
    </xdr:to>
    <xdr:sp macro="" textlink="">
      <xdr:nvSpPr>
        <xdr:cNvPr id="12" name="TextBox 11"/>
        <xdr:cNvSpPr txBox="1"/>
      </xdr:nvSpPr>
      <xdr:spPr>
        <a:xfrm>
          <a:off x="2314575" y="14306550"/>
          <a:ext cx="7305675" cy="419100"/>
        </a:xfrm>
        <a:prstGeom prst="rect">
          <a:avLst/>
        </a:prstGeom>
        <a:solidFill>
          <a:srgbClr val="9BFD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0" i="0" u="none" strike="noStrike">
              <a:solidFill>
                <a:schemeClr val="dk1"/>
              </a:solidFill>
              <a:effectLst/>
              <a:latin typeface="+mn-lt"/>
              <a:ea typeface="+mn-ea"/>
              <a:cs typeface="+mn-cs"/>
            </a:rPr>
            <a:t>2.</a:t>
          </a:r>
          <a:r>
            <a:rPr lang="en-US" sz="1600"/>
            <a:t>  </a:t>
          </a:r>
          <a:r>
            <a:rPr lang="en-US" sz="1600" b="0" i="1" u="none" strike="noStrike">
              <a:solidFill>
                <a:schemeClr val="dk1"/>
              </a:solidFill>
              <a:effectLst/>
              <a:latin typeface="+mn-lt"/>
              <a:ea typeface="+mn-ea"/>
              <a:cs typeface="+mn-cs"/>
            </a:rPr>
            <a:t>Increase in oil</a:t>
          </a:r>
          <a:r>
            <a:rPr lang="en-US" sz="1600" b="0" i="1" u="none" strike="noStrike" baseline="0">
              <a:solidFill>
                <a:schemeClr val="dk1"/>
              </a:solidFill>
              <a:effectLst/>
              <a:latin typeface="+mn-lt"/>
              <a:ea typeface="+mn-ea"/>
              <a:cs typeface="+mn-cs"/>
            </a:rPr>
            <a:t> production in USA (including tight oil) =&gt; decrease in import</a:t>
          </a:r>
          <a:endParaRPr lang="en-US" sz="1600" i="1"/>
        </a:p>
      </xdr:txBody>
    </xdr:sp>
    <xdr:clientData/>
  </xdr:twoCellAnchor>
  <xdr:twoCellAnchor editAs="oneCell">
    <xdr:from>
      <xdr:col>4</xdr:col>
      <xdr:colOff>600075</xdr:colOff>
      <xdr:row>79</xdr:row>
      <xdr:rowOff>19050</xdr:rowOff>
    </xdr:from>
    <xdr:to>
      <xdr:col>17</xdr:col>
      <xdr:colOff>570513</xdr:colOff>
      <xdr:row>110</xdr:row>
      <xdr:rowOff>132598</xdr:rowOff>
    </xdr:to>
    <xdr:pic>
      <xdr:nvPicPr>
        <xdr:cNvPr id="14" name="Picture 13"/>
        <xdr:cNvPicPr>
          <a:picLocks noChangeAspect="1"/>
        </xdr:cNvPicPr>
      </xdr:nvPicPr>
      <xdr:blipFill>
        <a:blip xmlns:r="http://schemas.openxmlformats.org/officeDocument/2006/relationships" r:embed="rId6"/>
        <a:stretch>
          <a:fillRect/>
        </a:stretch>
      </xdr:blipFill>
      <xdr:spPr>
        <a:xfrm>
          <a:off x="2305050" y="15068550"/>
          <a:ext cx="7895238" cy="6019048"/>
        </a:xfrm>
        <a:prstGeom prst="rect">
          <a:avLst/>
        </a:prstGeom>
      </xdr:spPr>
    </xdr:pic>
    <xdr:clientData/>
  </xdr:twoCellAnchor>
  <xdr:twoCellAnchor editAs="oneCell">
    <xdr:from>
      <xdr:col>5</xdr:col>
      <xdr:colOff>0</xdr:colOff>
      <xdr:row>112</xdr:row>
      <xdr:rowOff>0</xdr:rowOff>
    </xdr:from>
    <xdr:to>
      <xdr:col>13</xdr:col>
      <xdr:colOff>599390</xdr:colOff>
      <xdr:row>126</xdr:row>
      <xdr:rowOff>142524</xdr:rowOff>
    </xdr:to>
    <xdr:pic>
      <xdr:nvPicPr>
        <xdr:cNvPr id="15" name="Picture 14"/>
        <xdr:cNvPicPr>
          <a:picLocks noChangeAspect="1"/>
        </xdr:cNvPicPr>
      </xdr:nvPicPr>
      <xdr:blipFill>
        <a:blip xmlns:r="http://schemas.openxmlformats.org/officeDocument/2006/relationships" r:embed="rId7"/>
        <a:stretch>
          <a:fillRect/>
        </a:stretch>
      </xdr:blipFill>
      <xdr:spPr>
        <a:xfrm>
          <a:off x="2314575" y="21336000"/>
          <a:ext cx="5476190" cy="2809524"/>
        </a:xfrm>
        <a:prstGeom prst="rect">
          <a:avLst/>
        </a:prstGeom>
      </xdr:spPr>
    </xdr:pic>
    <xdr:clientData/>
  </xdr:twoCellAnchor>
  <xdr:twoCellAnchor>
    <xdr:from>
      <xdr:col>5</xdr:col>
      <xdr:colOff>0</xdr:colOff>
      <xdr:row>144</xdr:row>
      <xdr:rowOff>0</xdr:rowOff>
    </xdr:from>
    <xdr:to>
      <xdr:col>16</xdr:col>
      <xdr:colOff>600075</xdr:colOff>
      <xdr:row>146</xdr:row>
      <xdr:rowOff>38100</xdr:rowOff>
    </xdr:to>
    <xdr:sp macro="" textlink="">
      <xdr:nvSpPr>
        <xdr:cNvPr id="16" name="TextBox 15"/>
        <xdr:cNvSpPr txBox="1"/>
      </xdr:nvSpPr>
      <xdr:spPr>
        <a:xfrm>
          <a:off x="2314575" y="27432000"/>
          <a:ext cx="7305675" cy="419100"/>
        </a:xfrm>
        <a:prstGeom prst="rect">
          <a:avLst/>
        </a:prstGeom>
        <a:solidFill>
          <a:srgbClr val="9BFD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0" i="0" u="none" strike="noStrike">
              <a:solidFill>
                <a:schemeClr val="dk1"/>
              </a:solidFill>
              <a:effectLst/>
              <a:latin typeface="+mn-lt"/>
              <a:ea typeface="+mn-ea"/>
              <a:cs typeface="+mn-cs"/>
            </a:rPr>
            <a:t>3.</a:t>
          </a:r>
          <a:r>
            <a:rPr lang="en-US" sz="1600"/>
            <a:t>  </a:t>
          </a:r>
          <a:r>
            <a:rPr lang="en-US" sz="1600" b="0" i="1" u="none" strike="noStrike">
              <a:solidFill>
                <a:schemeClr val="dk1"/>
              </a:solidFill>
              <a:effectLst/>
              <a:latin typeface="+mn-lt"/>
              <a:ea typeface="+mn-ea"/>
              <a:cs typeface="+mn-cs"/>
            </a:rPr>
            <a:t>OPEC pricing policy and global competition</a:t>
          </a:r>
          <a:endParaRPr lang="en-US" sz="1600" i="1"/>
        </a:p>
      </xdr:txBody>
    </xdr:sp>
    <xdr:clientData/>
  </xdr:twoCellAnchor>
  <xdr:twoCellAnchor>
    <xdr:from>
      <xdr:col>4</xdr:col>
      <xdr:colOff>600075</xdr:colOff>
      <xdr:row>147</xdr:row>
      <xdr:rowOff>104775</xdr:rowOff>
    </xdr:from>
    <xdr:to>
      <xdr:col>17</xdr:col>
      <xdr:colOff>0</xdr:colOff>
      <xdr:row>152</xdr:row>
      <xdr:rowOff>0</xdr:rowOff>
    </xdr:to>
    <xdr:sp macro="" textlink="">
      <xdr:nvSpPr>
        <xdr:cNvPr id="17" name="TextBox 16"/>
        <xdr:cNvSpPr txBox="1"/>
      </xdr:nvSpPr>
      <xdr:spPr>
        <a:xfrm>
          <a:off x="2305050" y="28108275"/>
          <a:ext cx="7324725" cy="847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t>OPEC was not able to deside to limit</a:t>
          </a:r>
          <a:r>
            <a:rPr lang="en-US" sz="1200" baseline="0"/>
            <a:t> oil production. </a:t>
          </a:r>
        </a:p>
        <a:p>
          <a:r>
            <a:rPr lang="en-US" sz="1200" baseline="0"/>
            <a:t>According to </a:t>
          </a:r>
          <a:r>
            <a:rPr lang="en-US" sz="1200" b="0" i="0">
              <a:solidFill>
                <a:schemeClr val="dk1"/>
              </a:solidFill>
              <a:effectLst/>
              <a:latin typeface="+mn-lt"/>
              <a:ea typeface="+mn-ea"/>
              <a:cs typeface="+mn-cs"/>
            </a:rPr>
            <a:t>Dr. Gary Ross, chief executive of PIRA Energy Group,  OPEC cannot manage the market anymore. </a:t>
          </a:r>
        </a:p>
        <a:p>
          <a:r>
            <a:rPr lang="en-US" sz="1200" b="0" i="0">
              <a:solidFill>
                <a:schemeClr val="dk1"/>
              </a:solidFill>
              <a:effectLst/>
              <a:latin typeface="+mn-lt"/>
              <a:ea typeface="+mn-ea"/>
              <a:cs typeface="+mn-cs"/>
            </a:rPr>
            <a:t>That is why some members (precisely Saudi Arabia) rejected to limit oil</a:t>
          </a:r>
          <a:r>
            <a:rPr lang="en-US" sz="1200" b="0" i="0" baseline="0">
              <a:solidFill>
                <a:schemeClr val="dk1"/>
              </a:solidFill>
              <a:effectLst/>
              <a:latin typeface="+mn-lt"/>
              <a:ea typeface="+mn-ea"/>
              <a:cs typeface="+mn-cs"/>
            </a:rPr>
            <a:t> production not to lose their share in the market.</a:t>
          </a:r>
        </a:p>
        <a:p>
          <a:endParaRPr lang="en-US" sz="1200" b="0" i="0" u="none" strike="noStrike">
            <a:solidFill>
              <a:schemeClr val="dk1"/>
            </a:solidFill>
            <a:effectLst/>
            <a:latin typeface="+mn-lt"/>
            <a:ea typeface="+mn-ea"/>
            <a:cs typeface="+mn-cs"/>
          </a:endParaRPr>
        </a:p>
      </xdr:txBody>
    </xdr:sp>
    <xdr:clientData/>
  </xdr:twoCellAnchor>
  <xdr:twoCellAnchor>
    <xdr:from>
      <xdr:col>5</xdr:col>
      <xdr:colOff>0</xdr:colOff>
      <xdr:row>155</xdr:row>
      <xdr:rowOff>0</xdr:rowOff>
    </xdr:from>
    <xdr:to>
      <xdr:col>16</xdr:col>
      <xdr:colOff>600075</xdr:colOff>
      <xdr:row>157</xdr:row>
      <xdr:rowOff>38100</xdr:rowOff>
    </xdr:to>
    <xdr:sp macro="" textlink="">
      <xdr:nvSpPr>
        <xdr:cNvPr id="18" name="TextBox 17"/>
        <xdr:cNvSpPr txBox="1"/>
      </xdr:nvSpPr>
      <xdr:spPr>
        <a:xfrm>
          <a:off x="2314575" y="29527500"/>
          <a:ext cx="7305675" cy="419100"/>
        </a:xfrm>
        <a:prstGeom prst="rect">
          <a:avLst/>
        </a:prstGeom>
        <a:solidFill>
          <a:srgbClr val="9BFD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0" i="0" u="none" strike="noStrike">
              <a:solidFill>
                <a:schemeClr val="dk1"/>
              </a:solidFill>
              <a:effectLst/>
              <a:latin typeface="+mn-lt"/>
              <a:ea typeface="+mn-ea"/>
              <a:cs typeface="+mn-cs"/>
            </a:rPr>
            <a:t>4.</a:t>
          </a:r>
          <a:r>
            <a:rPr lang="en-US" sz="1600"/>
            <a:t>  </a:t>
          </a:r>
          <a:r>
            <a:rPr lang="en-US" sz="1600" b="0" i="1" u="none" strike="noStrike">
              <a:solidFill>
                <a:schemeClr val="dk1"/>
              </a:solidFill>
              <a:effectLst/>
              <a:latin typeface="+mn-lt"/>
              <a:ea typeface="+mn-ea"/>
              <a:cs typeface="+mn-cs"/>
            </a:rPr>
            <a:t>War in Syria</a:t>
          </a:r>
          <a:r>
            <a:rPr lang="en-US" sz="1600" b="0" i="1" u="none" strike="noStrike" baseline="0">
              <a:solidFill>
                <a:schemeClr val="dk1"/>
              </a:solidFill>
              <a:effectLst/>
              <a:latin typeface="+mn-lt"/>
              <a:ea typeface="+mn-ea"/>
              <a:cs typeface="+mn-cs"/>
            </a:rPr>
            <a:t>, Libya and Nigeria - one of the key oil players</a:t>
          </a:r>
          <a:endParaRPr lang="en-US" sz="1600" i="1"/>
        </a:p>
      </xdr:txBody>
    </xdr:sp>
    <xdr:clientData/>
  </xdr:twoCellAnchor>
  <xdr:twoCellAnchor>
    <xdr:from>
      <xdr:col>5</xdr:col>
      <xdr:colOff>19050</xdr:colOff>
      <xdr:row>158</xdr:row>
      <xdr:rowOff>0</xdr:rowOff>
    </xdr:from>
    <xdr:to>
      <xdr:col>17</xdr:col>
      <xdr:colOff>0</xdr:colOff>
      <xdr:row>161</xdr:row>
      <xdr:rowOff>180975</xdr:rowOff>
    </xdr:to>
    <xdr:sp macro="" textlink="">
      <xdr:nvSpPr>
        <xdr:cNvPr id="19" name="TextBox 18"/>
        <xdr:cNvSpPr txBox="1"/>
      </xdr:nvSpPr>
      <xdr:spPr>
        <a:xfrm>
          <a:off x="2333625" y="30099000"/>
          <a:ext cx="7296150" cy="752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t>This</a:t>
          </a:r>
          <a:r>
            <a:rPr lang="en-US" sz="1200" baseline="0"/>
            <a:t> wars makes governments to find money and sell their oil cheaper.</a:t>
          </a:r>
        </a:p>
        <a:p>
          <a:r>
            <a:rPr lang="en-US" sz="1200" baseline="0"/>
            <a:t>Moreover, ISIS during the war needs money too, so they sell oil cheaper moving the prices down.</a:t>
          </a:r>
        </a:p>
        <a:p>
          <a:r>
            <a:rPr lang="en-US" sz="1200" baseline="0"/>
            <a:t>Note: Syria and Libya in 2014 product almost nothing, Nigeria's changes are not sufficient.</a:t>
          </a:r>
        </a:p>
        <a:p>
          <a:endParaRPr lang="en-US" sz="1200"/>
        </a:p>
      </xdr:txBody>
    </xdr:sp>
    <xdr:clientData/>
  </xdr:twoCellAnchor>
  <xdr:twoCellAnchor>
    <xdr:from>
      <xdr:col>5</xdr:col>
      <xdr:colOff>0</xdr:colOff>
      <xdr:row>163</xdr:row>
      <xdr:rowOff>0</xdr:rowOff>
    </xdr:from>
    <xdr:to>
      <xdr:col>16</xdr:col>
      <xdr:colOff>600075</xdr:colOff>
      <xdr:row>165</xdr:row>
      <xdr:rowOff>38100</xdr:rowOff>
    </xdr:to>
    <xdr:sp macro="" textlink="">
      <xdr:nvSpPr>
        <xdr:cNvPr id="20" name="TextBox 19"/>
        <xdr:cNvSpPr txBox="1"/>
      </xdr:nvSpPr>
      <xdr:spPr>
        <a:xfrm>
          <a:off x="2314575" y="31051500"/>
          <a:ext cx="7305675" cy="419100"/>
        </a:xfrm>
        <a:prstGeom prst="rect">
          <a:avLst/>
        </a:prstGeom>
        <a:solidFill>
          <a:srgbClr val="9BFD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0" i="0" u="none" strike="noStrike">
              <a:solidFill>
                <a:schemeClr val="dk1"/>
              </a:solidFill>
              <a:effectLst/>
              <a:latin typeface="+mn-lt"/>
              <a:ea typeface="+mn-ea"/>
              <a:cs typeface="+mn-cs"/>
            </a:rPr>
            <a:t>5.</a:t>
          </a:r>
          <a:r>
            <a:rPr lang="en-US" sz="1600"/>
            <a:t>  </a:t>
          </a:r>
          <a:r>
            <a:rPr lang="en-US" sz="1600" b="0" i="1" u="none" strike="noStrike">
              <a:solidFill>
                <a:schemeClr val="dk1"/>
              </a:solidFill>
              <a:effectLst/>
              <a:latin typeface="+mn-lt"/>
              <a:ea typeface="+mn-ea"/>
              <a:cs typeface="+mn-cs"/>
            </a:rPr>
            <a:t>Crisis</a:t>
          </a:r>
          <a:r>
            <a:rPr lang="en-US" sz="1600" b="0" i="1" u="none" strike="noStrike" baseline="0">
              <a:solidFill>
                <a:schemeClr val="dk1"/>
              </a:solidFill>
              <a:effectLst/>
              <a:latin typeface="+mn-lt"/>
              <a:ea typeface="+mn-ea"/>
              <a:cs typeface="+mn-cs"/>
            </a:rPr>
            <a:t> in Russia</a:t>
          </a:r>
          <a:endParaRPr lang="en-US" sz="1600" i="1"/>
        </a:p>
      </xdr:txBody>
    </xdr:sp>
    <xdr:clientData/>
  </xdr:twoCellAnchor>
  <xdr:twoCellAnchor>
    <xdr:from>
      <xdr:col>5</xdr:col>
      <xdr:colOff>0</xdr:colOff>
      <xdr:row>166</xdr:row>
      <xdr:rowOff>0</xdr:rowOff>
    </xdr:from>
    <xdr:to>
      <xdr:col>16</xdr:col>
      <xdr:colOff>590550</xdr:colOff>
      <xdr:row>172</xdr:row>
      <xdr:rowOff>0</xdr:rowOff>
    </xdr:to>
    <xdr:sp macro="" textlink="">
      <xdr:nvSpPr>
        <xdr:cNvPr id="21" name="TextBox 20"/>
        <xdr:cNvSpPr txBox="1"/>
      </xdr:nvSpPr>
      <xdr:spPr>
        <a:xfrm>
          <a:off x="2314575" y="31623000"/>
          <a:ext cx="7296150" cy="1143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t>After</a:t>
          </a:r>
          <a:r>
            <a:rPr lang="en-US" sz="1200" baseline="0"/>
            <a:t> oil price dropped, Russia faced big problems with budget deficit. In order to solve this problem, taking into consideration the fact that OPEC did not have an agreement, Russia had to product and cell more oil.</a:t>
          </a:r>
        </a:p>
        <a:p>
          <a:r>
            <a:rPr lang="en-US" sz="1200" baseline="0"/>
            <a:t>2014 - 6.2 MMBD</a:t>
          </a:r>
        </a:p>
        <a:p>
          <a:r>
            <a:rPr lang="en-US" sz="1200" baseline="0"/>
            <a:t>2015 - 6.5 MMBD</a:t>
          </a:r>
        </a:p>
        <a:p>
          <a:r>
            <a:rPr lang="en-US" sz="1200" baseline="0"/>
            <a:t>2016 - 7.2 MMBD</a:t>
          </a:r>
        </a:p>
      </xdr:txBody>
    </xdr:sp>
    <xdr:clientData/>
  </xdr:twoCellAnchor>
  <xdr:twoCellAnchor>
    <xdr:from>
      <xdr:col>5</xdr:col>
      <xdr:colOff>0</xdr:colOff>
      <xdr:row>173</xdr:row>
      <xdr:rowOff>0</xdr:rowOff>
    </xdr:from>
    <xdr:to>
      <xdr:col>16</xdr:col>
      <xdr:colOff>600075</xdr:colOff>
      <xdr:row>175</xdr:row>
      <xdr:rowOff>38100</xdr:rowOff>
    </xdr:to>
    <xdr:sp macro="" textlink="">
      <xdr:nvSpPr>
        <xdr:cNvPr id="22" name="TextBox 21"/>
        <xdr:cNvSpPr txBox="1"/>
      </xdr:nvSpPr>
      <xdr:spPr>
        <a:xfrm>
          <a:off x="2314575" y="32956500"/>
          <a:ext cx="7305675" cy="419100"/>
        </a:xfrm>
        <a:prstGeom prst="rect">
          <a:avLst/>
        </a:prstGeom>
        <a:solidFill>
          <a:srgbClr val="9BFD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0" i="0" u="none" strike="noStrike">
              <a:solidFill>
                <a:schemeClr val="dk1"/>
              </a:solidFill>
              <a:effectLst/>
              <a:latin typeface="+mn-lt"/>
              <a:ea typeface="+mn-ea"/>
              <a:cs typeface="+mn-cs"/>
            </a:rPr>
            <a:t>6.</a:t>
          </a:r>
          <a:r>
            <a:rPr lang="en-US" sz="1600"/>
            <a:t>  </a:t>
          </a:r>
          <a:r>
            <a:rPr lang="en-US" sz="1600" b="0" i="1" u="none" strike="noStrike">
              <a:solidFill>
                <a:schemeClr val="dk1"/>
              </a:solidFill>
              <a:effectLst/>
              <a:latin typeface="+mn-lt"/>
              <a:ea typeface="+mn-ea"/>
              <a:cs typeface="+mn-cs"/>
            </a:rPr>
            <a:t>Market</a:t>
          </a:r>
          <a:r>
            <a:rPr lang="en-US" sz="1600" b="0" i="1" u="none" strike="noStrike" baseline="0">
              <a:solidFill>
                <a:schemeClr val="dk1"/>
              </a:solidFill>
              <a:effectLst/>
              <a:latin typeface="+mn-lt"/>
              <a:ea typeface="+mn-ea"/>
              <a:cs typeface="+mn-cs"/>
            </a:rPr>
            <a:t> Manipulation</a:t>
          </a:r>
          <a:endParaRPr lang="en-US" sz="1600" i="1"/>
        </a:p>
      </xdr:txBody>
    </xdr:sp>
    <xdr:clientData/>
  </xdr:twoCellAnchor>
  <xdr:twoCellAnchor>
    <xdr:from>
      <xdr:col>5</xdr:col>
      <xdr:colOff>19050</xdr:colOff>
      <xdr:row>176</xdr:row>
      <xdr:rowOff>9526</xdr:rowOff>
    </xdr:from>
    <xdr:to>
      <xdr:col>16</xdr:col>
      <xdr:colOff>600075</xdr:colOff>
      <xdr:row>181</xdr:row>
      <xdr:rowOff>142876</xdr:rowOff>
    </xdr:to>
    <xdr:sp macro="" textlink="">
      <xdr:nvSpPr>
        <xdr:cNvPr id="23" name="TextBox 22">
          <a:hlinkClick xmlns:r="http://schemas.openxmlformats.org/officeDocument/2006/relationships" r:id="rId8"/>
        </xdr:cNvPr>
        <xdr:cNvSpPr txBox="1"/>
      </xdr:nvSpPr>
      <xdr:spPr>
        <a:xfrm>
          <a:off x="2333625" y="33537526"/>
          <a:ext cx="7286625" cy="1085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t>Some people</a:t>
          </a:r>
          <a:r>
            <a:rPr lang="en-US" sz="1200" baseline="0"/>
            <a:t> believe, that oil price is manipulated to harm Russia and Iran (actually, this was made at least twice 1986, 1998)</a:t>
          </a:r>
          <a:br>
            <a:rPr lang="en-US" sz="1200" baseline="0"/>
          </a:br>
          <a:r>
            <a:rPr lang="en-US" sz="1200" baseline="0">
              <a:solidFill>
                <a:srgbClr val="7030A0"/>
              </a:solidFill>
            </a:rPr>
            <a:t>Source: http://oilprice.com/Energy/Oil-Prices/Did-The-Saudis-And-The-US-Collude-In-Dropping-Oil-Prices.html</a:t>
          </a:r>
        </a:p>
        <a:p>
          <a:endParaRPr lang="en-US" sz="1200" baseline="0"/>
        </a:p>
        <a:p>
          <a:r>
            <a:rPr lang="en-US" sz="1200" baseline="0"/>
            <a:t>At the same time,  this manipulation has not only political reasons but also business ones (to cut off competitors)</a:t>
          </a:r>
          <a:endParaRPr lang="en-US" sz="1200"/>
        </a:p>
      </xdr:txBody>
    </xdr:sp>
    <xdr:clientData/>
  </xdr:twoCellAnchor>
  <xdr:twoCellAnchor>
    <xdr:from>
      <xdr:col>5</xdr:col>
      <xdr:colOff>0</xdr:colOff>
      <xdr:row>183</xdr:row>
      <xdr:rowOff>0</xdr:rowOff>
    </xdr:from>
    <xdr:to>
      <xdr:col>16</xdr:col>
      <xdr:colOff>600075</xdr:colOff>
      <xdr:row>185</xdr:row>
      <xdr:rowOff>38100</xdr:rowOff>
    </xdr:to>
    <xdr:sp macro="" textlink="">
      <xdr:nvSpPr>
        <xdr:cNvPr id="24" name="TextBox 23"/>
        <xdr:cNvSpPr txBox="1"/>
      </xdr:nvSpPr>
      <xdr:spPr>
        <a:xfrm>
          <a:off x="2314575" y="34861500"/>
          <a:ext cx="7305675" cy="419100"/>
        </a:xfrm>
        <a:prstGeom prst="rect">
          <a:avLst/>
        </a:prstGeom>
        <a:solidFill>
          <a:srgbClr val="9BFD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0" i="0" u="none" strike="noStrike">
              <a:solidFill>
                <a:schemeClr val="dk1"/>
              </a:solidFill>
              <a:effectLst/>
              <a:latin typeface="+mn-lt"/>
              <a:ea typeface="+mn-ea"/>
              <a:cs typeface="+mn-cs"/>
            </a:rPr>
            <a:t>7.</a:t>
          </a:r>
          <a:r>
            <a:rPr lang="en-US" sz="1600"/>
            <a:t>  </a:t>
          </a:r>
          <a:r>
            <a:rPr lang="en-US" sz="1600" b="0" i="1" u="none" strike="noStrike">
              <a:solidFill>
                <a:schemeClr val="dk1"/>
              </a:solidFill>
              <a:effectLst/>
              <a:latin typeface="+mn-lt"/>
              <a:ea typeface="+mn-ea"/>
              <a:cs typeface="+mn-cs"/>
            </a:rPr>
            <a:t>Finance</a:t>
          </a:r>
          <a:r>
            <a:rPr lang="en-US" sz="1600" b="0" i="1" u="none" strike="noStrike" baseline="0">
              <a:solidFill>
                <a:schemeClr val="dk1"/>
              </a:solidFill>
              <a:effectLst/>
              <a:latin typeface="+mn-lt"/>
              <a:ea typeface="+mn-ea"/>
              <a:cs typeface="+mn-cs"/>
            </a:rPr>
            <a:t> market expectations</a:t>
          </a:r>
          <a:endParaRPr lang="en-US" sz="1600" i="1"/>
        </a:p>
      </xdr:txBody>
    </xdr:sp>
    <xdr:clientData/>
  </xdr:twoCellAnchor>
  <xdr:twoCellAnchor>
    <xdr:from>
      <xdr:col>5</xdr:col>
      <xdr:colOff>9525</xdr:colOff>
      <xdr:row>186</xdr:row>
      <xdr:rowOff>19050</xdr:rowOff>
    </xdr:from>
    <xdr:to>
      <xdr:col>16</xdr:col>
      <xdr:colOff>590550</xdr:colOff>
      <xdr:row>189</xdr:row>
      <xdr:rowOff>161925</xdr:rowOff>
    </xdr:to>
    <xdr:sp macro="" textlink="">
      <xdr:nvSpPr>
        <xdr:cNvPr id="25" name="TextBox 24"/>
        <xdr:cNvSpPr txBox="1"/>
      </xdr:nvSpPr>
      <xdr:spPr>
        <a:xfrm>
          <a:off x="2324100" y="35452050"/>
          <a:ext cx="7286625" cy="714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t>Since</a:t>
          </a:r>
          <a:r>
            <a:rPr lang="en-US" sz="1200" baseline="0"/>
            <a:t> forwards and futures prices nowadays have huge influence on oil real price, new information about tight USA oil, wars with ISIS, OPEC problems, etc.  makes investors sell oil, making downward pressure on the price.</a:t>
          </a:r>
        </a:p>
        <a:p>
          <a:r>
            <a:rPr lang="en-US" sz="1200"/>
            <a:t>One more notice:</a:t>
          </a:r>
          <a:r>
            <a:rPr lang="en-US" sz="1200" baseline="0"/>
            <a:t> the price falls quickly and returns back gradually.</a:t>
          </a:r>
          <a:endParaRPr lang="en-US" sz="1200"/>
        </a:p>
      </xdr:txBody>
    </xdr:sp>
    <xdr:clientData/>
  </xdr:twoCellAnchor>
  <xdr:twoCellAnchor editAs="oneCell">
    <xdr:from>
      <xdr:col>4</xdr:col>
      <xdr:colOff>590550</xdr:colOff>
      <xdr:row>194</xdr:row>
      <xdr:rowOff>0</xdr:rowOff>
    </xdr:from>
    <xdr:to>
      <xdr:col>15</xdr:col>
      <xdr:colOff>323045</xdr:colOff>
      <xdr:row>215</xdr:row>
      <xdr:rowOff>123309</xdr:rowOff>
    </xdr:to>
    <xdr:pic>
      <xdr:nvPicPr>
        <xdr:cNvPr id="26" name="Picture 25"/>
        <xdr:cNvPicPr>
          <a:picLocks noChangeAspect="1"/>
        </xdr:cNvPicPr>
      </xdr:nvPicPr>
      <xdr:blipFill>
        <a:blip xmlns:r="http://schemas.openxmlformats.org/officeDocument/2006/relationships" r:embed="rId9"/>
        <a:stretch>
          <a:fillRect/>
        </a:stretch>
      </xdr:blipFill>
      <xdr:spPr>
        <a:xfrm>
          <a:off x="2295525" y="36957000"/>
          <a:ext cx="6438095" cy="4123809"/>
        </a:xfrm>
        <a:prstGeom prst="rect">
          <a:avLst/>
        </a:prstGeom>
      </xdr:spPr>
    </xdr:pic>
    <xdr:clientData/>
  </xdr:twoCellAnchor>
  <xdr:twoCellAnchor>
    <xdr:from>
      <xdr:col>5</xdr:col>
      <xdr:colOff>0</xdr:colOff>
      <xdr:row>191</xdr:row>
      <xdr:rowOff>0</xdr:rowOff>
    </xdr:from>
    <xdr:to>
      <xdr:col>16</xdr:col>
      <xdr:colOff>600075</xdr:colOff>
      <xdr:row>193</xdr:row>
      <xdr:rowOff>38100</xdr:rowOff>
    </xdr:to>
    <xdr:sp macro="" textlink="">
      <xdr:nvSpPr>
        <xdr:cNvPr id="27" name="TextBox 26"/>
        <xdr:cNvSpPr txBox="1"/>
      </xdr:nvSpPr>
      <xdr:spPr>
        <a:xfrm>
          <a:off x="2314575" y="36385500"/>
          <a:ext cx="7305675" cy="419100"/>
        </a:xfrm>
        <a:prstGeom prst="rect">
          <a:avLst/>
        </a:prstGeom>
        <a:solidFill>
          <a:srgbClr val="9BFD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0" i="0" u="none" strike="noStrike">
              <a:solidFill>
                <a:schemeClr val="dk1"/>
              </a:solidFill>
              <a:effectLst/>
              <a:latin typeface="+mn-lt"/>
              <a:ea typeface="+mn-ea"/>
              <a:cs typeface="+mn-cs"/>
            </a:rPr>
            <a:t>8.</a:t>
          </a:r>
          <a:r>
            <a:rPr lang="en-US" sz="1600"/>
            <a:t>  </a:t>
          </a:r>
          <a:r>
            <a:rPr lang="en-US" sz="1600" b="0" i="1" u="none" strike="noStrike">
              <a:solidFill>
                <a:schemeClr val="dk1"/>
              </a:solidFill>
              <a:effectLst/>
              <a:latin typeface="+mn-lt"/>
              <a:ea typeface="+mn-ea"/>
              <a:cs typeface="+mn-cs"/>
            </a:rPr>
            <a:t>Strong</a:t>
          </a:r>
          <a:r>
            <a:rPr lang="en-US" sz="1600" b="0" i="1" u="none" strike="noStrike" baseline="0">
              <a:solidFill>
                <a:schemeClr val="dk1"/>
              </a:solidFill>
              <a:effectLst/>
              <a:latin typeface="+mn-lt"/>
              <a:ea typeface="+mn-ea"/>
              <a:cs typeface="+mn-cs"/>
            </a:rPr>
            <a:t> dollar</a:t>
          </a:r>
          <a:endParaRPr lang="en-US" sz="1600" i="1"/>
        </a:p>
      </xdr:txBody>
    </xdr:sp>
    <xdr:clientData/>
  </xdr:twoCellAnchor>
  <xdr:twoCellAnchor>
    <xdr:from>
      <xdr:col>5</xdr:col>
      <xdr:colOff>9525</xdr:colOff>
      <xdr:row>217</xdr:row>
      <xdr:rowOff>95250</xdr:rowOff>
    </xdr:from>
    <xdr:to>
      <xdr:col>16</xdr:col>
      <xdr:colOff>600075</xdr:colOff>
      <xdr:row>222</xdr:row>
      <xdr:rowOff>9525</xdr:rowOff>
    </xdr:to>
    <xdr:sp macro="" textlink="">
      <xdr:nvSpPr>
        <xdr:cNvPr id="28" name="TextBox 27"/>
        <xdr:cNvSpPr txBox="1"/>
      </xdr:nvSpPr>
      <xdr:spPr>
        <a:xfrm>
          <a:off x="2324100" y="41433750"/>
          <a:ext cx="7296150" cy="866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a:t>
          </a:r>
          <a:r>
            <a:rPr lang="en-US" sz="1100" baseline="0"/>
            <a:t> is well-known fact that dollar rate influence oil price(and  vise versa).  </a:t>
          </a:r>
          <a:r>
            <a:rPr lang="en-US" sz="1100" baseline="0">
              <a:solidFill>
                <a:schemeClr val="dk1"/>
              </a:solidFill>
              <a:effectLst/>
              <a:latin typeface="+mn-lt"/>
              <a:ea typeface="+mn-ea"/>
              <a:cs typeface="+mn-cs"/>
            </a:rPr>
            <a:t>So, we should take this fact in account.</a:t>
          </a:r>
          <a:endParaRPr lang="en-US" sz="1100" baseline="0"/>
        </a:p>
        <a:p>
          <a:r>
            <a:rPr lang="en-US" sz="1100" baseline="0">
              <a:solidFill>
                <a:srgbClr val="7030A0"/>
              </a:solidFill>
              <a:effectLst/>
              <a:latin typeface="+mn-lt"/>
              <a:ea typeface="+mn-ea"/>
              <a:cs typeface="+mn-cs"/>
            </a:rPr>
            <a:t>https://www.thealertinvestor.com/oil-and-the-dollar/</a:t>
          </a:r>
          <a:r>
            <a:rPr lang="en-US" sz="1100" baseline="0"/>
            <a:t/>
          </a:r>
          <a:br>
            <a:rPr lang="en-US" sz="1100" baseline="0"/>
          </a:br>
          <a:r>
            <a:rPr lang="en-US" sz="1100" baseline="0"/>
            <a:t>As we can see during 2014-2015 dollar grew significantly. Based on </a:t>
          </a:r>
          <a:r>
            <a:rPr lang="en-US" sz="1100" b="0" i="0">
              <a:solidFill>
                <a:schemeClr val="dk1"/>
              </a:solidFill>
              <a:effectLst/>
              <a:latin typeface="+mn-lt"/>
              <a:ea typeface="+mn-ea"/>
              <a:cs typeface="+mn-cs"/>
            </a:rPr>
            <a:t>inverse relationship between the two,</a:t>
          </a:r>
          <a:r>
            <a:rPr lang="en-US" sz="1100" b="0" i="0" baseline="0">
              <a:solidFill>
                <a:schemeClr val="dk1"/>
              </a:solidFill>
              <a:effectLst/>
              <a:latin typeface="+mn-lt"/>
              <a:ea typeface="+mn-ea"/>
              <a:cs typeface="+mn-cs"/>
            </a:rPr>
            <a:t> it was possible to make a decision that oil price dropped.</a:t>
          </a: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9526</xdr:colOff>
      <xdr:row>0</xdr:row>
      <xdr:rowOff>9525</xdr:rowOff>
    </xdr:from>
    <xdr:to>
      <xdr:col>14</xdr:col>
      <xdr:colOff>9526</xdr:colOff>
      <xdr:row>3</xdr:row>
      <xdr:rowOff>0</xdr:rowOff>
    </xdr:to>
    <xdr:sp macro="" textlink="">
      <xdr:nvSpPr>
        <xdr:cNvPr id="2" name="TextBox 1"/>
        <xdr:cNvSpPr txBox="1"/>
      </xdr:nvSpPr>
      <xdr:spPr>
        <a:xfrm>
          <a:off x="9526" y="9525"/>
          <a:ext cx="8534400" cy="561975"/>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3200" b="1" i="1"/>
            <a:t>Oil price forecasting</a:t>
          </a:r>
        </a:p>
      </xdr:txBody>
    </xdr:sp>
    <xdr:clientData/>
  </xdr:twoCellAnchor>
  <xdr:twoCellAnchor>
    <xdr:from>
      <xdr:col>0</xdr:col>
      <xdr:colOff>114300</xdr:colOff>
      <xdr:row>3</xdr:row>
      <xdr:rowOff>171450</xdr:rowOff>
    </xdr:from>
    <xdr:to>
      <xdr:col>14</xdr:col>
      <xdr:colOff>9525</xdr:colOff>
      <xdr:row>5</xdr:row>
      <xdr:rowOff>180975</xdr:rowOff>
    </xdr:to>
    <xdr:sp macro="" textlink="">
      <xdr:nvSpPr>
        <xdr:cNvPr id="4" name="TextBox 3"/>
        <xdr:cNvSpPr txBox="1"/>
      </xdr:nvSpPr>
      <xdr:spPr>
        <a:xfrm>
          <a:off x="114300" y="742950"/>
          <a:ext cx="8429625" cy="3905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i="1"/>
            <a:t>Step 1: Technical</a:t>
          </a:r>
          <a:r>
            <a:rPr lang="en-US" sz="1800" b="1" i="1" baseline="0"/>
            <a:t> analysis (Global)</a:t>
          </a:r>
          <a:endParaRPr lang="en-US" sz="1800" b="1" i="1"/>
        </a:p>
      </xdr:txBody>
    </xdr:sp>
    <xdr:clientData/>
  </xdr:twoCellAnchor>
  <xdr:twoCellAnchor>
    <xdr:from>
      <xdr:col>0</xdr:col>
      <xdr:colOff>57150</xdr:colOff>
      <xdr:row>36</xdr:row>
      <xdr:rowOff>114299</xdr:rowOff>
    </xdr:from>
    <xdr:to>
      <xdr:col>14</xdr:col>
      <xdr:colOff>9525</xdr:colOff>
      <xdr:row>48</xdr:row>
      <xdr:rowOff>28575</xdr:rowOff>
    </xdr:to>
    <xdr:sp macro="" textlink="">
      <xdr:nvSpPr>
        <xdr:cNvPr id="11" name="TextBox 10"/>
        <xdr:cNvSpPr txBox="1"/>
      </xdr:nvSpPr>
      <xdr:spPr>
        <a:xfrm>
          <a:off x="57150" y="6972299"/>
          <a:ext cx="8486775" cy="22002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t>Based</a:t>
          </a:r>
          <a:r>
            <a:rPr lang="en-US" sz="1200" baseline="0"/>
            <a:t> on global technical analysis, </a:t>
          </a:r>
          <a:r>
            <a:rPr lang="en-US" sz="1200"/>
            <a:t>It seems that current situation is similar to period 1985</a:t>
          </a:r>
          <a:r>
            <a:rPr lang="en-US" sz="1200" baseline="0"/>
            <a:t> - 1990. So , after huge drop oil price rised up to $22 that is equal approximatelly 50% of the drop. Oil price drop during 2014 was about $70 =&gt; quick roll-back is not expected to be more than $40 (up to $70). After that the price is likely to drop down again.</a:t>
          </a:r>
        </a:p>
        <a:p>
          <a:endParaRPr lang="en-US" sz="1200" baseline="0"/>
        </a:p>
        <a:p>
          <a:r>
            <a:rPr lang="en-US" sz="1200" baseline="0"/>
            <a:t>The same scenario was in 2008-2009 when price plummeted from $150 to $50 and then rised again (about 50%) up to $100</a:t>
          </a:r>
        </a:p>
        <a:p>
          <a:endParaRPr lang="en-US" sz="1200" baseline="0"/>
        </a:p>
        <a:p>
          <a:r>
            <a:rPr lang="en-US" sz="1200" baseline="0"/>
            <a:t>Based on historical data, average year volatility during relatively "ordinary" time is no more than $10, so during the next year I don't expect oil price to be under $50 - 2* $10 = $30 anyway.</a:t>
          </a:r>
        </a:p>
        <a:p>
          <a:endParaRPr lang="en-US" sz="1200" baseline="0"/>
        </a:p>
        <a:p>
          <a:r>
            <a:rPr lang="en-US" sz="1200" b="1"/>
            <a:t>Conclusion: </a:t>
          </a:r>
          <a:r>
            <a:rPr lang="en-US" sz="1200" b="1" baseline="0"/>
            <a:t> </a:t>
          </a:r>
          <a:r>
            <a:rPr lang="en-US" sz="1200" baseline="0"/>
            <a:t>based on technical analysis we can expect oil price to be (roughly) between $30 and $70  during the next year.</a:t>
          </a:r>
        </a:p>
        <a:p>
          <a:r>
            <a:rPr lang="en-US" sz="1200"/>
            <a:t>Personally</a:t>
          </a:r>
          <a:r>
            <a:rPr lang="en-US" sz="1200" baseline="0"/>
            <a:t>, I expect the price to reach at least $60 first. (based on 50% roll-back strategy)</a:t>
          </a:r>
          <a:endParaRPr lang="en-US" sz="1200"/>
        </a:p>
      </xdr:txBody>
    </xdr:sp>
    <xdr:clientData/>
  </xdr:twoCellAnchor>
  <xdr:twoCellAnchor>
    <xdr:from>
      <xdr:col>0</xdr:col>
      <xdr:colOff>247650</xdr:colOff>
      <xdr:row>28</xdr:row>
      <xdr:rowOff>123825</xdr:rowOff>
    </xdr:from>
    <xdr:to>
      <xdr:col>1</xdr:col>
      <xdr:colOff>76200</xdr:colOff>
      <xdr:row>30</xdr:row>
      <xdr:rowOff>0</xdr:rowOff>
    </xdr:to>
    <xdr:sp macro="" textlink="">
      <xdr:nvSpPr>
        <xdr:cNvPr id="12" name="TextBox 11"/>
        <xdr:cNvSpPr txBox="1"/>
      </xdr:nvSpPr>
      <xdr:spPr>
        <a:xfrm>
          <a:off x="247650" y="5457825"/>
          <a:ext cx="438150" cy="257175"/>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t>$23</a:t>
          </a:r>
        </a:p>
      </xdr:txBody>
    </xdr:sp>
    <xdr:clientData/>
  </xdr:twoCellAnchor>
  <xdr:twoCellAnchor>
    <xdr:from>
      <xdr:col>0</xdr:col>
      <xdr:colOff>47625</xdr:colOff>
      <xdr:row>6</xdr:row>
      <xdr:rowOff>142875</xdr:rowOff>
    </xdr:from>
    <xdr:to>
      <xdr:col>14</xdr:col>
      <xdr:colOff>600075</xdr:colOff>
      <xdr:row>34</xdr:row>
      <xdr:rowOff>142875</xdr:rowOff>
    </xdr:to>
    <xdr:grpSp>
      <xdr:nvGrpSpPr>
        <xdr:cNvPr id="5" name="Группа 4"/>
        <xdr:cNvGrpSpPr/>
      </xdr:nvGrpSpPr>
      <xdr:grpSpPr>
        <a:xfrm>
          <a:off x="47625" y="1285875"/>
          <a:ext cx="9363075" cy="5334000"/>
          <a:chOff x="47625" y="1285875"/>
          <a:chExt cx="9024097" cy="5334000"/>
        </a:xfrm>
      </xdr:grpSpPr>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 y="1285875"/>
            <a:ext cx="8399929" cy="5334000"/>
          </a:xfrm>
          <a:prstGeom prst="rect">
            <a:avLst/>
          </a:prstGeom>
        </xdr:spPr>
      </xdr:pic>
      <xdr:cxnSp macro="">
        <xdr:nvCxnSpPr>
          <xdr:cNvPr id="6" name="Straight Connector 5"/>
          <xdr:cNvCxnSpPr/>
        </xdr:nvCxnSpPr>
        <xdr:spPr>
          <a:xfrm>
            <a:off x="852768" y="5581650"/>
            <a:ext cx="7451911" cy="38100"/>
          </a:xfrm>
          <a:prstGeom prst="line">
            <a:avLst/>
          </a:prstGeom>
        </xdr:spPr>
        <xdr:style>
          <a:lnRef idx="1">
            <a:schemeClr val="accent6"/>
          </a:lnRef>
          <a:fillRef idx="0">
            <a:schemeClr val="accent6"/>
          </a:fillRef>
          <a:effectRef idx="0">
            <a:schemeClr val="accent6"/>
          </a:effectRef>
          <a:fontRef idx="minor">
            <a:schemeClr val="tx1"/>
          </a:fontRef>
        </xdr:style>
      </xdr:cxnSp>
      <xdr:cxnSp macro="">
        <xdr:nvCxnSpPr>
          <xdr:cNvPr id="8" name="Straight Connector 7"/>
          <xdr:cNvCxnSpPr/>
        </xdr:nvCxnSpPr>
        <xdr:spPr>
          <a:xfrm flipV="1">
            <a:off x="690843" y="2400300"/>
            <a:ext cx="7604311" cy="9525"/>
          </a:xfrm>
          <a:prstGeom prst="line">
            <a:avLst/>
          </a:prstGeom>
        </xdr:spPr>
        <xdr:style>
          <a:lnRef idx="1">
            <a:schemeClr val="accent6"/>
          </a:lnRef>
          <a:fillRef idx="0">
            <a:schemeClr val="accent6"/>
          </a:fillRef>
          <a:effectRef idx="0">
            <a:schemeClr val="accent6"/>
          </a:effectRef>
          <a:fontRef idx="minor">
            <a:schemeClr val="tx1"/>
          </a:fontRef>
        </xdr:style>
      </xdr:cxnSp>
      <xdr:cxnSp macro="">
        <xdr:nvCxnSpPr>
          <xdr:cNvPr id="10" name="Straight Connector 9"/>
          <xdr:cNvCxnSpPr/>
        </xdr:nvCxnSpPr>
        <xdr:spPr>
          <a:xfrm>
            <a:off x="1891553" y="4181475"/>
            <a:ext cx="6384551" cy="9525"/>
          </a:xfrm>
          <a:prstGeom prst="line">
            <a:avLst/>
          </a:prstGeom>
        </xdr:spPr>
        <xdr:style>
          <a:lnRef idx="1">
            <a:schemeClr val="accent6"/>
          </a:lnRef>
          <a:fillRef idx="0">
            <a:schemeClr val="accent6"/>
          </a:fillRef>
          <a:effectRef idx="0">
            <a:schemeClr val="accent6"/>
          </a:effectRef>
          <a:fontRef idx="minor">
            <a:schemeClr val="tx1"/>
          </a:fontRef>
        </xdr:style>
      </xdr:cxnSp>
      <xdr:sp macro="" textlink="">
        <xdr:nvSpPr>
          <xdr:cNvPr id="13" name="Left Brace 12"/>
          <xdr:cNvSpPr/>
        </xdr:nvSpPr>
        <xdr:spPr>
          <a:xfrm>
            <a:off x="1638860" y="4191000"/>
            <a:ext cx="262218" cy="1333500"/>
          </a:xfrm>
          <a:prstGeom prst="leftBrace">
            <a:avLst/>
          </a:prstGeom>
        </xdr:spPr>
        <xdr:style>
          <a:lnRef idx="2">
            <a:schemeClr val="accent2"/>
          </a:lnRef>
          <a:fillRef idx="0">
            <a:schemeClr val="accent2"/>
          </a:fillRef>
          <a:effectRef idx="1">
            <a:schemeClr val="accent2"/>
          </a:effectRef>
          <a:fontRef idx="minor">
            <a:schemeClr val="tx1"/>
          </a:fontRef>
        </xdr:style>
        <xdr:txBody>
          <a:bodyPr vertOverflow="clip" horzOverflow="clip" rtlCol="0" anchor="t"/>
          <a:lstStyle/>
          <a:p>
            <a:pPr algn="l"/>
            <a:endParaRPr lang="en-US" sz="1100"/>
          </a:p>
        </xdr:txBody>
      </xdr:sp>
      <xdr:sp macro="" textlink="">
        <xdr:nvSpPr>
          <xdr:cNvPr id="14" name="TextBox 13"/>
          <xdr:cNvSpPr txBox="1"/>
        </xdr:nvSpPr>
        <xdr:spPr>
          <a:xfrm>
            <a:off x="728943" y="4810125"/>
            <a:ext cx="824193"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t>$22 ~ 50%</a:t>
            </a:r>
          </a:p>
        </xdr:txBody>
      </xdr:sp>
      <xdr:sp macro="" textlink="">
        <xdr:nvSpPr>
          <xdr:cNvPr id="15" name="Right Brace 14"/>
          <xdr:cNvSpPr/>
        </xdr:nvSpPr>
        <xdr:spPr>
          <a:xfrm>
            <a:off x="7923679" y="3867150"/>
            <a:ext cx="209550" cy="1304925"/>
          </a:xfrm>
          <a:prstGeom prst="rightBrace">
            <a:avLst/>
          </a:prstGeom>
        </xdr:spPr>
        <xdr:style>
          <a:lnRef idx="2">
            <a:schemeClr val="accent2"/>
          </a:lnRef>
          <a:fillRef idx="0">
            <a:schemeClr val="accent2"/>
          </a:fillRef>
          <a:effectRef idx="1">
            <a:schemeClr val="accent2"/>
          </a:effectRef>
          <a:fontRef idx="minor">
            <a:schemeClr val="tx1"/>
          </a:fontRef>
        </xdr:style>
        <xdr:txBody>
          <a:bodyPr vertOverflow="clip" horzOverflow="clip" rtlCol="0" anchor="t"/>
          <a:lstStyle/>
          <a:p>
            <a:pPr algn="l"/>
            <a:endParaRPr lang="en-US" sz="1100"/>
          </a:p>
        </xdr:txBody>
      </xdr:sp>
      <xdr:sp macro="" textlink="">
        <xdr:nvSpPr>
          <xdr:cNvPr id="16" name="TextBox 15"/>
          <xdr:cNvSpPr txBox="1"/>
        </xdr:nvSpPr>
        <xdr:spPr>
          <a:xfrm>
            <a:off x="8152278" y="4371976"/>
            <a:ext cx="919444" cy="266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$22  ~ 28%</a:t>
            </a:r>
          </a:p>
        </xdr:txBody>
      </xdr:sp>
      <xdr:cxnSp macro="">
        <xdr:nvCxnSpPr>
          <xdr:cNvPr id="18" name="Straight Connector 17"/>
          <xdr:cNvCxnSpPr/>
        </xdr:nvCxnSpPr>
        <xdr:spPr>
          <a:xfrm flipH="1" flipV="1">
            <a:off x="600075" y="3314700"/>
            <a:ext cx="1358153" cy="9525"/>
          </a:xfrm>
          <a:prstGeom prst="line">
            <a:avLst/>
          </a:prstGeom>
        </xdr:spPr>
        <xdr:style>
          <a:lnRef idx="1">
            <a:schemeClr val="accent6"/>
          </a:lnRef>
          <a:fillRef idx="0">
            <a:schemeClr val="accent6"/>
          </a:fillRef>
          <a:effectRef idx="0">
            <a:schemeClr val="accent6"/>
          </a:effectRef>
          <a:fontRef idx="minor">
            <a:schemeClr val="tx1"/>
          </a:fontRef>
        </xdr:style>
      </xdr:cxnSp>
      <xdr:sp macro="" textlink="">
        <xdr:nvSpPr>
          <xdr:cNvPr id="19" name="TextBox 18"/>
          <xdr:cNvSpPr txBox="1"/>
        </xdr:nvSpPr>
        <xdr:spPr>
          <a:xfrm>
            <a:off x="314325" y="3190875"/>
            <a:ext cx="395568" cy="228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$68</a:t>
            </a:r>
          </a:p>
        </xdr:txBody>
      </xdr:sp>
      <xdr:cxnSp macro="">
        <xdr:nvCxnSpPr>
          <xdr:cNvPr id="24" name="Straight Connector 23"/>
          <xdr:cNvCxnSpPr/>
        </xdr:nvCxnSpPr>
        <xdr:spPr>
          <a:xfrm flipV="1">
            <a:off x="6837269" y="5057775"/>
            <a:ext cx="1014693" cy="9525"/>
          </a:xfrm>
          <a:prstGeom prst="line">
            <a:avLst/>
          </a:prstGeom>
        </xdr:spPr>
        <xdr:style>
          <a:lnRef idx="1">
            <a:schemeClr val="accent6"/>
          </a:lnRef>
          <a:fillRef idx="0">
            <a:schemeClr val="accent6"/>
          </a:fillRef>
          <a:effectRef idx="0">
            <a:schemeClr val="accent6"/>
          </a:effectRef>
          <a:fontRef idx="minor">
            <a:schemeClr val="tx1"/>
          </a:fontRef>
        </xdr:style>
      </xdr:cxnSp>
      <xdr:sp macro="" textlink="">
        <xdr:nvSpPr>
          <xdr:cNvPr id="25" name="TextBox 24"/>
          <xdr:cNvSpPr txBox="1"/>
        </xdr:nvSpPr>
        <xdr:spPr>
          <a:xfrm>
            <a:off x="6546476" y="4953000"/>
            <a:ext cx="424143" cy="219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$30</a:t>
            </a:r>
          </a:p>
        </xdr:txBody>
      </xdr:sp>
      <xdr:sp macro="" textlink="">
        <xdr:nvSpPr>
          <xdr:cNvPr id="26" name="TextBox 25"/>
          <xdr:cNvSpPr txBox="1"/>
        </xdr:nvSpPr>
        <xdr:spPr>
          <a:xfrm>
            <a:off x="7851962" y="2295525"/>
            <a:ext cx="509867" cy="209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$108</a:t>
            </a:r>
          </a:p>
        </xdr:txBody>
      </xdr:sp>
    </xdr:grpSp>
    <xdr:clientData/>
  </xdr:twoCellAnchor>
  <xdr:twoCellAnchor>
    <xdr:from>
      <xdr:col>0</xdr:col>
      <xdr:colOff>0</xdr:colOff>
      <xdr:row>50</xdr:row>
      <xdr:rowOff>0</xdr:rowOff>
    </xdr:from>
    <xdr:to>
      <xdr:col>13</xdr:col>
      <xdr:colOff>600075</xdr:colOff>
      <xdr:row>52</xdr:row>
      <xdr:rowOff>9525</xdr:rowOff>
    </xdr:to>
    <xdr:sp macro="" textlink="">
      <xdr:nvSpPr>
        <xdr:cNvPr id="27" name="TextBox 26"/>
        <xdr:cNvSpPr txBox="1"/>
      </xdr:nvSpPr>
      <xdr:spPr>
        <a:xfrm>
          <a:off x="0" y="9525000"/>
          <a:ext cx="8524875" cy="3905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i="1"/>
            <a:t>Step 2: Technical</a:t>
          </a:r>
          <a:r>
            <a:rPr lang="en-US" sz="1800" b="1" i="1" baseline="0"/>
            <a:t> analysis (Local)</a:t>
          </a:r>
          <a:endParaRPr lang="en-US" sz="1800" b="1" i="1"/>
        </a:p>
      </xdr:txBody>
    </xdr:sp>
    <xdr:clientData/>
  </xdr:twoCellAnchor>
  <xdr:twoCellAnchor>
    <xdr:from>
      <xdr:col>0</xdr:col>
      <xdr:colOff>200025</xdr:colOff>
      <xdr:row>73</xdr:row>
      <xdr:rowOff>133350</xdr:rowOff>
    </xdr:from>
    <xdr:to>
      <xdr:col>13</xdr:col>
      <xdr:colOff>590550</xdr:colOff>
      <xdr:row>78</xdr:row>
      <xdr:rowOff>24847</xdr:rowOff>
    </xdr:to>
    <xdr:sp macro="" textlink="">
      <xdr:nvSpPr>
        <xdr:cNvPr id="53" name="TextBox 52"/>
        <xdr:cNvSpPr txBox="1"/>
      </xdr:nvSpPr>
      <xdr:spPr>
        <a:xfrm>
          <a:off x="200025" y="14039850"/>
          <a:ext cx="8358395" cy="8439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t>We can see clear uptrend. By the way 2015-04-02 and 2016-02-02 was wonderful moment for long.</a:t>
          </a:r>
        </a:p>
        <a:p>
          <a:endParaRPr lang="en-US" sz="1100" baseline="0"/>
        </a:p>
        <a:p>
          <a:r>
            <a:rPr lang="en-US" sz="1100" baseline="0"/>
            <a:t>From this graph I can assume that the price will go up but will not breakthrough $60 line. </a:t>
          </a:r>
        </a:p>
      </xdr:txBody>
    </xdr:sp>
    <xdr:clientData/>
  </xdr:twoCellAnchor>
  <xdr:twoCellAnchor>
    <xdr:from>
      <xdr:col>0</xdr:col>
      <xdr:colOff>0</xdr:colOff>
      <xdr:row>52</xdr:row>
      <xdr:rowOff>0</xdr:rowOff>
    </xdr:from>
    <xdr:to>
      <xdr:col>14</xdr:col>
      <xdr:colOff>140804</xdr:colOff>
      <xdr:row>72</xdr:row>
      <xdr:rowOff>19050</xdr:rowOff>
    </xdr:to>
    <xdr:grpSp>
      <xdr:nvGrpSpPr>
        <xdr:cNvPr id="21" name="Группа 20"/>
        <xdr:cNvGrpSpPr/>
      </xdr:nvGrpSpPr>
      <xdr:grpSpPr>
        <a:xfrm>
          <a:off x="0" y="9906000"/>
          <a:ext cx="8951429" cy="3829050"/>
          <a:chOff x="0" y="9906000"/>
          <a:chExt cx="8612451" cy="3829050"/>
        </a:xfrm>
      </xdr:grpSpPr>
      <xdr:graphicFrame macro="">
        <xdr:nvGraphicFramePr>
          <xdr:cNvPr id="28" name="Chart 27"/>
          <xdr:cNvGraphicFramePr>
            <a:graphicFrameLocks/>
          </xdr:cNvGraphicFramePr>
        </xdr:nvGraphicFramePr>
        <xdr:xfrm>
          <a:off x="0" y="9906000"/>
          <a:ext cx="8447554" cy="3829050"/>
        </xdr:xfrm>
        <a:graphic>
          <a:graphicData uri="http://schemas.openxmlformats.org/drawingml/2006/chart">
            <c:chart xmlns:c="http://schemas.openxmlformats.org/drawingml/2006/chart" xmlns:r="http://schemas.openxmlformats.org/officeDocument/2006/relationships" r:id="rId2"/>
          </a:graphicData>
        </a:graphic>
      </xdr:graphicFrame>
      <xdr:cxnSp macro="">
        <xdr:nvCxnSpPr>
          <xdr:cNvPr id="51" name="Straight Connector 50"/>
          <xdr:cNvCxnSpPr/>
        </xdr:nvCxnSpPr>
        <xdr:spPr>
          <a:xfrm flipV="1">
            <a:off x="5846109" y="12208565"/>
            <a:ext cx="2766342" cy="440638"/>
          </a:xfrm>
          <a:prstGeom prst="line">
            <a:avLst/>
          </a:prstGeom>
        </xdr:spPr>
        <xdr:style>
          <a:lnRef idx="1">
            <a:schemeClr val="accent6"/>
          </a:lnRef>
          <a:fillRef idx="0">
            <a:schemeClr val="accent6"/>
          </a:fillRef>
          <a:effectRef idx="0">
            <a:schemeClr val="accent6"/>
          </a:effectRef>
          <a:fontRef idx="minor">
            <a:schemeClr val="tx1"/>
          </a:fontRef>
        </xdr:style>
      </xdr:cxnSp>
      <xdr:cxnSp macro="">
        <xdr:nvCxnSpPr>
          <xdr:cNvPr id="58" name="Straight Connector 57"/>
          <xdr:cNvCxnSpPr/>
        </xdr:nvCxnSpPr>
        <xdr:spPr>
          <a:xfrm>
            <a:off x="1715060" y="10458450"/>
            <a:ext cx="4054849" cy="2228850"/>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62" name="Oval 61"/>
          <xdr:cNvSpPr/>
        </xdr:nvSpPr>
        <xdr:spPr>
          <a:xfrm>
            <a:off x="5202891" y="12534900"/>
            <a:ext cx="595593" cy="428625"/>
          </a:xfrm>
          <a:prstGeom prst="ellipse">
            <a:avLst/>
          </a:prstGeom>
          <a:noFill/>
          <a:ln>
            <a:solidFill>
              <a:srgbClr val="FF0000"/>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sp macro="" textlink="">
        <xdr:nvSpPr>
          <xdr:cNvPr id="63" name="Oval 62"/>
          <xdr:cNvSpPr/>
        </xdr:nvSpPr>
        <xdr:spPr>
          <a:xfrm>
            <a:off x="2801471" y="11944350"/>
            <a:ext cx="662267"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65" name="Straight Connector 64"/>
          <xdr:cNvCxnSpPr/>
        </xdr:nvCxnSpPr>
        <xdr:spPr>
          <a:xfrm flipV="1">
            <a:off x="3035113" y="11820525"/>
            <a:ext cx="5212416" cy="9525"/>
          </a:xfrm>
          <a:prstGeom prst="line">
            <a:avLst/>
          </a:prstGeom>
        </xdr:spPr>
        <xdr:style>
          <a:lnRef idx="1">
            <a:schemeClr val="accent6"/>
          </a:lnRef>
          <a:fillRef idx="0">
            <a:schemeClr val="accent6"/>
          </a:fillRef>
          <a:effectRef idx="0">
            <a:schemeClr val="accent6"/>
          </a:effectRef>
          <a:fontRef idx="minor">
            <a:schemeClr val="tx1"/>
          </a:fontRef>
        </xdr:style>
      </xdr:cxnSp>
    </xdr:grpSp>
    <xdr:clientData/>
  </xdr:twoCellAnchor>
  <xdr:twoCellAnchor>
    <xdr:from>
      <xdr:col>0</xdr:col>
      <xdr:colOff>0</xdr:colOff>
      <xdr:row>80</xdr:row>
      <xdr:rowOff>0</xdr:rowOff>
    </xdr:from>
    <xdr:to>
      <xdr:col>13</xdr:col>
      <xdr:colOff>600075</xdr:colOff>
      <xdr:row>82</xdr:row>
      <xdr:rowOff>9525</xdr:rowOff>
    </xdr:to>
    <xdr:sp macro="" textlink="">
      <xdr:nvSpPr>
        <xdr:cNvPr id="69" name="TextBox 68"/>
        <xdr:cNvSpPr txBox="1"/>
      </xdr:nvSpPr>
      <xdr:spPr>
        <a:xfrm>
          <a:off x="0" y="18097500"/>
          <a:ext cx="8567945" cy="3905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i="1"/>
            <a:t>Step 3: Fundamental</a:t>
          </a:r>
          <a:r>
            <a:rPr lang="en-US" sz="1800" b="1" i="1" baseline="0"/>
            <a:t> analysis </a:t>
          </a:r>
          <a:endParaRPr lang="en-US" sz="1800" b="1" i="1"/>
        </a:p>
      </xdr:txBody>
    </xdr:sp>
    <xdr:clientData/>
  </xdr:twoCellAnchor>
  <xdr:twoCellAnchor>
    <xdr:from>
      <xdr:col>0</xdr:col>
      <xdr:colOff>16564</xdr:colOff>
      <xdr:row>83</xdr:row>
      <xdr:rowOff>74544</xdr:rowOff>
    </xdr:from>
    <xdr:to>
      <xdr:col>13</xdr:col>
      <xdr:colOff>604629</xdr:colOff>
      <xdr:row>85</xdr:row>
      <xdr:rowOff>16566</xdr:rowOff>
    </xdr:to>
    <xdr:sp macro="" textlink="">
      <xdr:nvSpPr>
        <xdr:cNvPr id="70" name="TextBox 69"/>
        <xdr:cNvSpPr txBox="1"/>
      </xdr:nvSpPr>
      <xdr:spPr>
        <a:xfrm>
          <a:off x="16564" y="18743544"/>
          <a:ext cx="8555935" cy="323022"/>
        </a:xfrm>
        <a:prstGeom prst="rect">
          <a:avLst/>
        </a:prstGeom>
        <a:solidFill>
          <a:srgbClr val="99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b="1" i="1"/>
            <a:t>1. Supply</a:t>
          </a:r>
          <a:r>
            <a:rPr lang="en-US" sz="1400" b="1" i="1" baseline="0"/>
            <a:t> </a:t>
          </a:r>
          <a:endParaRPr lang="en-US" sz="1400" b="1" i="1"/>
        </a:p>
      </xdr:txBody>
    </xdr:sp>
    <xdr:clientData/>
  </xdr:twoCellAnchor>
  <xdr:twoCellAnchor editAs="oneCell">
    <xdr:from>
      <xdr:col>0</xdr:col>
      <xdr:colOff>41410</xdr:colOff>
      <xdr:row>87</xdr:row>
      <xdr:rowOff>124231</xdr:rowOff>
    </xdr:from>
    <xdr:to>
      <xdr:col>9</xdr:col>
      <xdr:colOff>108085</xdr:colOff>
      <xdr:row>106</xdr:row>
      <xdr:rowOff>103562</xdr:rowOff>
    </xdr:to>
    <xdr:pic>
      <xdr:nvPicPr>
        <xdr:cNvPr id="74" name="Picture 73" descr="Gradually declined&#10;&#10;" title="U.S. Crude Oil Production - Historical Chart"/>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1410" y="16697731"/>
          <a:ext cx="5706717" cy="3598831"/>
        </a:xfrm>
        <a:prstGeom prst="rect">
          <a:avLst/>
        </a:prstGeom>
      </xdr:spPr>
    </xdr:pic>
    <xdr:clientData/>
  </xdr:twoCellAnchor>
  <xdr:twoCellAnchor>
    <xdr:from>
      <xdr:col>0</xdr:col>
      <xdr:colOff>8283</xdr:colOff>
      <xdr:row>86</xdr:row>
      <xdr:rowOff>49696</xdr:rowOff>
    </xdr:from>
    <xdr:to>
      <xdr:col>14</xdr:col>
      <xdr:colOff>8282</xdr:colOff>
      <xdr:row>87</xdr:row>
      <xdr:rowOff>91109</xdr:rowOff>
    </xdr:to>
    <xdr:sp macro="" textlink="">
      <xdr:nvSpPr>
        <xdr:cNvPr id="75" name="TextBox 74"/>
        <xdr:cNvSpPr txBox="1"/>
      </xdr:nvSpPr>
      <xdr:spPr>
        <a:xfrm>
          <a:off x="8283" y="16432696"/>
          <a:ext cx="8580782" cy="231913"/>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i="0">
              <a:solidFill>
                <a:schemeClr val="dk1"/>
              </a:solidFill>
              <a:effectLst/>
              <a:latin typeface="+mn-lt"/>
              <a:ea typeface="+mn-ea"/>
              <a:cs typeface="+mn-cs"/>
            </a:rPr>
            <a:t>U.S. Crude Oil Production - Historical Chart</a:t>
          </a:r>
        </a:p>
        <a:p>
          <a:endParaRPr lang="en-US" sz="1100"/>
        </a:p>
      </xdr:txBody>
    </xdr:sp>
    <xdr:clientData/>
  </xdr:twoCellAnchor>
  <xdr:twoCellAnchor>
    <xdr:from>
      <xdr:col>0</xdr:col>
      <xdr:colOff>0</xdr:colOff>
      <xdr:row>108</xdr:row>
      <xdr:rowOff>0</xdr:rowOff>
    </xdr:from>
    <xdr:to>
      <xdr:col>13</xdr:col>
      <xdr:colOff>612912</xdr:colOff>
      <xdr:row>109</xdr:row>
      <xdr:rowOff>41413</xdr:rowOff>
    </xdr:to>
    <xdr:sp macro="" textlink="">
      <xdr:nvSpPr>
        <xdr:cNvPr id="76" name="TextBox 75"/>
        <xdr:cNvSpPr txBox="1"/>
      </xdr:nvSpPr>
      <xdr:spPr>
        <a:xfrm>
          <a:off x="0" y="20574000"/>
          <a:ext cx="8580782" cy="231913"/>
        </a:xfrm>
        <a:prstGeom prst="rect">
          <a:avLst/>
        </a:prstGeom>
        <a:solidFill>
          <a:srgbClr val="CC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i="0">
              <a:solidFill>
                <a:schemeClr val="dk1"/>
              </a:solidFill>
              <a:effectLst/>
              <a:latin typeface="+mn-lt"/>
              <a:ea typeface="+mn-ea"/>
              <a:cs typeface="+mn-cs"/>
            </a:rPr>
            <a:t>Conclusion: US oil</a:t>
          </a:r>
          <a:r>
            <a:rPr lang="en-US" sz="1100" b="1" i="0" baseline="0">
              <a:solidFill>
                <a:schemeClr val="dk1"/>
              </a:solidFill>
              <a:effectLst/>
              <a:latin typeface="+mn-lt"/>
              <a:ea typeface="+mn-ea"/>
              <a:cs typeface="+mn-cs"/>
            </a:rPr>
            <a:t> production gradually declined</a:t>
          </a:r>
          <a:endParaRPr lang="en-US" sz="1100"/>
        </a:p>
      </xdr:txBody>
    </xdr:sp>
    <xdr:clientData/>
  </xdr:twoCellAnchor>
  <xdr:twoCellAnchor editAs="oneCell">
    <xdr:from>
      <xdr:col>0</xdr:col>
      <xdr:colOff>0</xdr:colOff>
      <xdr:row>117</xdr:row>
      <xdr:rowOff>41414</xdr:rowOff>
    </xdr:from>
    <xdr:to>
      <xdr:col>11</xdr:col>
      <xdr:colOff>419846</xdr:colOff>
      <xdr:row>139</xdr:row>
      <xdr:rowOff>40890</xdr:rowOff>
    </xdr:to>
    <xdr:pic>
      <xdr:nvPicPr>
        <xdr:cNvPr id="77" name="Picture 76"/>
        <xdr:cNvPicPr>
          <a:picLocks noChangeAspect="1"/>
        </xdr:cNvPicPr>
      </xdr:nvPicPr>
      <xdr:blipFill>
        <a:blip xmlns:r="http://schemas.openxmlformats.org/officeDocument/2006/relationships" r:embed="rId4"/>
        <a:stretch>
          <a:fillRect/>
        </a:stretch>
      </xdr:blipFill>
      <xdr:spPr>
        <a:xfrm>
          <a:off x="0" y="22329914"/>
          <a:ext cx="7285714" cy="4190476"/>
        </a:xfrm>
        <a:prstGeom prst="rect">
          <a:avLst/>
        </a:prstGeom>
      </xdr:spPr>
    </xdr:pic>
    <xdr:clientData/>
  </xdr:twoCellAnchor>
  <xdr:twoCellAnchor>
    <xdr:from>
      <xdr:col>0</xdr:col>
      <xdr:colOff>16561</xdr:colOff>
      <xdr:row>112</xdr:row>
      <xdr:rowOff>165662</xdr:rowOff>
    </xdr:from>
    <xdr:to>
      <xdr:col>14</xdr:col>
      <xdr:colOff>8281</xdr:colOff>
      <xdr:row>114</xdr:row>
      <xdr:rowOff>173944</xdr:rowOff>
    </xdr:to>
    <xdr:sp macro="" textlink="">
      <xdr:nvSpPr>
        <xdr:cNvPr id="78" name="TextBox 77"/>
        <xdr:cNvSpPr txBox="1"/>
      </xdr:nvSpPr>
      <xdr:spPr>
        <a:xfrm>
          <a:off x="16561" y="21501662"/>
          <a:ext cx="8572503" cy="38928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OPEC</a:t>
          </a:r>
          <a:r>
            <a:rPr lang="en-US" sz="1600" baseline="0"/>
            <a:t>  production graph</a:t>
          </a:r>
          <a:endParaRPr lang="en-US" sz="1600"/>
        </a:p>
      </xdr:txBody>
    </xdr:sp>
    <xdr:clientData/>
  </xdr:twoCellAnchor>
  <xdr:twoCellAnchor editAs="oneCell">
    <xdr:from>
      <xdr:col>0</xdr:col>
      <xdr:colOff>0</xdr:colOff>
      <xdr:row>140</xdr:row>
      <xdr:rowOff>19050</xdr:rowOff>
    </xdr:from>
    <xdr:to>
      <xdr:col>9</xdr:col>
      <xdr:colOff>551680</xdr:colOff>
      <xdr:row>153</xdr:row>
      <xdr:rowOff>28264</xdr:rowOff>
    </xdr:to>
    <xdr:pic>
      <xdr:nvPicPr>
        <xdr:cNvPr id="80" name="Picture 79"/>
        <xdr:cNvPicPr>
          <a:picLocks noChangeAspect="1"/>
        </xdr:cNvPicPr>
      </xdr:nvPicPr>
      <xdr:blipFill>
        <a:blip xmlns:r="http://schemas.openxmlformats.org/officeDocument/2006/relationships" r:embed="rId5"/>
        <a:stretch>
          <a:fillRect/>
        </a:stretch>
      </xdr:blipFill>
      <xdr:spPr>
        <a:xfrm>
          <a:off x="0" y="26689050"/>
          <a:ext cx="6161905" cy="2485714"/>
        </a:xfrm>
        <a:prstGeom prst="rect">
          <a:avLst/>
        </a:prstGeom>
      </xdr:spPr>
    </xdr:pic>
    <xdr:clientData/>
  </xdr:twoCellAnchor>
  <xdr:twoCellAnchor>
    <xdr:from>
      <xdr:col>0</xdr:col>
      <xdr:colOff>0</xdr:colOff>
      <xdr:row>154</xdr:row>
      <xdr:rowOff>85725</xdr:rowOff>
    </xdr:from>
    <xdr:to>
      <xdr:col>14</xdr:col>
      <xdr:colOff>3312</xdr:colOff>
      <xdr:row>155</xdr:row>
      <xdr:rowOff>127138</xdr:rowOff>
    </xdr:to>
    <xdr:sp macro="" textlink="">
      <xdr:nvSpPr>
        <xdr:cNvPr id="81" name="TextBox 80"/>
        <xdr:cNvSpPr txBox="1"/>
      </xdr:nvSpPr>
      <xdr:spPr>
        <a:xfrm>
          <a:off x="0" y="29422725"/>
          <a:ext cx="8537712" cy="231913"/>
        </a:xfrm>
        <a:prstGeom prst="rect">
          <a:avLst/>
        </a:prstGeom>
        <a:solidFill>
          <a:srgbClr val="CC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i="0">
              <a:solidFill>
                <a:schemeClr val="dk1"/>
              </a:solidFill>
              <a:effectLst/>
              <a:latin typeface="+mn-lt"/>
              <a:ea typeface="+mn-ea"/>
              <a:cs typeface="+mn-cs"/>
            </a:rPr>
            <a:t>Conclusion: OPEC oil production decreased considerably and in general world</a:t>
          </a:r>
          <a:r>
            <a:rPr lang="en-US" sz="1100" b="1" i="0" baseline="0">
              <a:solidFill>
                <a:schemeClr val="dk1"/>
              </a:solidFill>
              <a:effectLst/>
              <a:latin typeface="+mn-lt"/>
              <a:ea typeface="+mn-ea"/>
              <a:cs typeface="+mn-cs"/>
            </a:rPr>
            <a:t> supply decreased.</a:t>
          </a:r>
          <a:endParaRPr lang="en-US" sz="1100"/>
        </a:p>
      </xdr:txBody>
    </xdr:sp>
    <xdr:clientData/>
  </xdr:twoCellAnchor>
  <xdr:twoCellAnchor editAs="oneCell">
    <xdr:from>
      <xdr:col>0</xdr:col>
      <xdr:colOff>28575</xdr:colOff>
      <xdr:row>170</xdr:row>
      <xdr:rowOff>28575</xdr:rowOff>
    </xdr:from>
    <xdr:to>
      <xdr:col>9</xdr:col>
      <xdr:colOff>465969</xdr:colOff>
      <xdr:row>182</xdr:row>
      <xdr:rowOff>47337</xdr:rowOff>
    </xdr:to>
    <xdr:pic>
      <xdr:nvPicPr>
        <xdr:cNvPr id="82" name="Picture 81"/>
        <xdr:cNvPicPr>
          <a:picLocks noChangeAspect="1"/>
        </xdr:cNvPicPr>
      </xdr:nvPicPr>
      <xdr:blipFill>
        <a:blip xmlns:r="http://schemas.openxmlformats.org/officeDocument/2006/relationships" r:embed="rId6"/>
        <a:stretch>
          <a:fillRect/>
        </a:stretch>
      </xdr:blipFill>
      <xdr:spPr>
        <a:xfrm>
          <a:off x="28575" y="30889575"/>
          <a:ext cx="6047619" cy="2304762"/>
        </a:xfrm>
        <a:prstGeom prst="rect">
          <a:avLst/>
        </a:prstGeom>
      </xdr:spPr>
    </xdr:pic>
    <xdr:clientData/>
  </xdr:twoCellAnchor>
  <xdr:twoCellAnchor>
    <xdr:from>
      <xdr:col>0</xdr:col>
      <xdr:colOff>0</xdr:colOff>
      <xdr:row>159</xdr:row>
      <xdr:rowOff>0</xdr:rowOff>
    </xdr:from>
    <xdr:to>
      <xdr:col>13</xdr:col>
      <xdr:colOff>588065</xdr:colOff>
      <xdr:row>160</xdr:row>
      <xdr:rowOff>132522</xdr:rowOff>
    </xdr:to>
    <xdr:sp macro="" textlink="">
      <xdr:nvSpPr>
        <xdr:cNvPr id="83" name="TextBox 82"/>
        <xdr:cNvSpPr txBox="1"/>
      </xdr:nvSpPr>
      <xdr:spPr>
        <a:xfrm>
          <a:off x="0" y="30289500"/>
          <a:ext cx="8512865" cy="323022"/>
        </a:xfrm>
        <a:prstGeom prst="rect">
          <a:avLst/>
        </a:prstGeom>
        <a:solidFill>
          <a:srgbClr val="9BFD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b="1" i="1"/>
            <a:t>Demand</a:t>
          </a:r>
        </a:p>
      </xdr:txBody>
    </xdr:sp>
    <xdr:clientData/>
  </xdr:twoCellAnchor>
  <xdr:twoCellAnchor editAs="oneCell">
    <xdr:from>
      <xdr:col>0</xdr:col>
      <xdr:colOff>0</xdr:colOff>
      <xdr:row>183</xdr:row>
      <xdr:rowOff>0</xdr:rowOff>
    </xdr:from>
    <xdr:to>
      <xdr:col>10</xdr:col>
      <xdr:colOff>27794</xdr:colOff>
      <xdr:row>190</xdr:row>
      <xdr:rowOff>37929</xdr:rowOff>
    </xdr:to>
    <xdr:pic>
      <xdr:nvPicPr>
        <xdr:cNvPr id="84" name="Picture 83"/>
        <xdr:cNvPicPr>
          <a:picLocks noChangeAspect="1"/>
        </xdr:cNvPicPr>
      </xdr:nvPicPr>
      <xdr:blipFill>
        <a:blip xmlns:r="http://schemas.openxmlformats.org/officeDocument/2006/relationships" r:embed="rId7"/>
        <a:stretch>
          <a:fillRect/>
        </a:stretch>
      </xdr:blipFill>
      <xdr:spPr>
        <a:xfrm>
          <a:off x="0" y="33337500"/>
          <a:ext cx="6247619" cy="1371429"/>
        </a:xfrm>
        <a:prstGeom prst="rect">
          <a:avLst/>
        </a:prstGeom>
      </xdr:spPr>
    </xdr:pic>
    <xdr:clientData/>
  </xdr:twoCellAnchor>
  <xdr:twoCellAnchor>
    <xdr:from>
      <xdr:col>0</xdr:col>
      <xdr:colOff>0</xdr:colOff>
      <xdr:row>200</xdr:row>
      <xdr:rowOff>57150</xdr:rowOff>
    </xdr:from>
    <xdr:to>
      <xdr:col>14</xdr:col>
      <xdr:colOff>3312</xdr:colOff>
      <xdr:row>201</xdr:row>
      <xdr:rowOff>98563</xdr:rowOff>
    </xdr:to>
    <xdr:sp macro="" textlink="">
      <xdr:nvSpPr>
        <xdr:cNvPr id="86" name="TextBox 85"/>
        <xdr:cNvSpPr txBox="1"/>
      </xdr:nvSpPr>
      <xdr:spPr>
        <a:xfrm>
          <a:off x="0" y="36633150"/>
          <a:ext cx="8537712" cy="231913"/>
        </a:xfrm>
        <a:prstGeom prst="rect">
          <a:avLst/>
        </a:prstGeom>
        <a:solidFill>
          <a:srgbClr val="CC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i="0">
              <a:solidFill>
                <a:schemeClr val="dk1"/>
              </a:solidFill>
              <a:effectLst/>
              <a:latin typeface="+mn-lt"/>
              <a:ea typeface="+mn-ea"/>
              <a:cs typeface="+mn-cs"/>
            </a:rPr>
            <a:t>Conclusion: world</a:t>
          </a:r>
          <a:r>
            <a:rPr lang="en-US" sz="1100" b="1" i="0" baseline="0">
              <a:solidFill>
                <a:schemeClr val="dk1"/>
              </a:solidFill>
              <a:effectLst/>
              <a:latin typeface="+mn-lt"/>
              <a:ea typeface="+mn-ea"/>
              <a:cs typeface="+mn-cs"/>
            </a:rPr>
            <a:t> growth rate in increased, so oil demand increased too.</a:t>
          </a:r>
          <a:endParaRPr lang="en-US" sz="1100"/>
        </a:p>
      </xdr:txBody>
    </xdr:sp>
    <xdr:clientData/>
  </xdr:twoCellAnchor>
  <xdr:twoCellAnchor editAs="oneCell">
    <xdr:from>
      <xdr:col>0</xdr:col>
      <xdr:colOff>19050</xdr:colOff>
      <xdr:row>191</xdr:row>
      <xdr:rowOff>76200</xdr:rowOff>
    </xdr:from>
    <xdr:to>
      <xdr:col>10</xdr:col>
      <xdr:colOff>37320</xdr:colOff>
      <xdr:row>196</xdr:row>
      <xdr:rowOff>171319</xdr:rowOff>
    </xdr:to>
    <xdr:pic>
      <xdr:nvPicPr>
        <xdr:cNvPr id="87" name="Picture 86"/>
        <xdr:cNvPicPr>
          <a:picLocks noChangeAspect="1"/>
        </xdr:cNvPicPr>
      </xdr:nvPicPr>
      <xdr:blipFill>
        <a:blip xmlns:r="http://schemas.openxmlformats.org/officeDocument/2006/relationships" r:embed="rId8"/>
        <a:stretch>
          <a:fillRect/>
        </a:stretch>
      </xdr:blipFill>
      <xdr:spPr>
        <a:xfrm>
          <a:off x="19050" y="36471225"/>
          <a:ext cx="6238095" cy="1047619"/>
        </a:xfrm>
        <a:prstGeom prst="rect">
          <a:avLst/>
        </a:prstGeom>
      </xdr:spPr>
    </xdr:pic>
    <xdr:clientData/>
  </xdr:twoCellAnchor>
  <xdr:twoCellAnchor>
    <xdr:from>
      <xdr:col>0</xdr:col>
      <xdr:colOff>28574</xdr:colOff>
      <xdr:row>160</xdr:row>
      <xdr:rowOff>152400</xdr:rowOff>
    </xdr:from>
    <xdr:to>
      <xdr:col>13</xdr:col>
      <xdr:colOff>600075</xdr:colOff>
      <xdr:row>170</xdr:row>
      <xdr:rowOff>38099</xdr:rowOff>
    </xdr:to>
    <xdr:sp macro="" textlink="">
      <xdr:nvSpPr>
        <xdr:cNvPr id="88" name="TextBox 87"/>
        <xdr:cNvSpPr txBox="1"/>
      </xdr:nvSpPr>
      <xdr:spPr>
        <a:xfrm>
          <a:off x="28574" y="30632400"/>
          <a:ext cx="8496301" cy="12191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t>World oil demand grew by 1.38 mb/d in 2016, higher by around 50 tb/d than in the previous month’s report, to average 95.05 mb/d. This was mainly as a result of positive adjustments in 4Q16 data, which accounted for the most up-to-date figures from regions around the world. In 2017, world oil demand is expected to stand at 96.31 mb/d, showing a growth of 1.26 mb/d, higher by approximately 70 tb/d from the previous month’s projections. Most of the oil demand growth is anticipated to originate from Other Asia, led by India, followed by China, then OECD America. The OECD Asia Pacific is the only region anticipated to reduce its oil requirements in 2017.</a:t>
          </a:r>
        </a:p>
        <a:p>
          <a:endParaRPr lang="en-US" sz="1200"/>
        </a:p>
        <a:p>
          <a:r>
            <a:rPr lang="en-US" sz="1200"/>
            <a:t>The rebalancing of the oil market, driven by the recent successful OPEC – Non-OPEC Declaration of Cooperation, is likely to further enhance the global oil industry, leading to even more global economic growth and hence higher oil demand growth in 2017.</a:t>
          </a:r>
        </a:p>
        <a:p>
          <a:endParaRPr lang="en-US" sz="1200"/>
        </a:p>
      </xdr:txBody>
    </xdr:sp>
    <xdr:clientData/>
  </xdr:twoCellAnchor>
  <xdr:twoCellAnchor>
    <xdr:from>
      <xdr:col>0</xdr:col>
      <xdr:colOff>0</xdr:colOff>
      <xdr:row>204</xdr:row>
      <xdr:rowOff>0</xdr:rowOff>
    </xdr:from>
    <xdr:to>
      <xdr:col>13</xdr:col>
      <xdr:colOff>588065</xdr:colOff>
      <xdr:row>205</xdr:row>
      <xdr:rowOff>132522</xdr:rowOff>
    </xdr:to>
    <xdr:sp macro="" textlink="">
      <xdr:nvSpPr>
        <xdr:cNvPr id="90" name="TextBox 89"/>
        <xdr:cNvSpPr txBox="1"/>
      </xdr:nvSpPr>
      <xdr:spPr>
        <a:xfrm>
          <a:off x="0" y="38862000"/>
          <a:ext cx="8512865" cy="323022"/>
        </a:xfrm>
        <a:prstGeom prst="rect">
          <a:avLst/>
        </a:prstGeom>
        <a:solidFill>
          <a:srgbClr val="9BFD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b="1" i="1"/>
            <a:t>Dollar</a:t>
          </a:r>
        </a:p>
      </xdr:txBody>
    </xdr:sp>
    <xdr:clientData/>
  </xdr:twoCellAnchor>
  <xdr:twoCellAnchor>
    <xdr:from>
      <xdr:col>0</xdr:col>
      <xdr:colOff>9525</xdr:colOff>
      <xdr:row>206</xdr:row>
      <xdr:rowOff>142875</xdr:rowOff>
    </xdr:from>
    <xdr:to>
      <xdr:col>13</xdr:col>
      <xdr:colOff>28575</xdr:colOff>
      <xdr:row>212</xdr:row>
      <xdr:rowOff>180975</xdr:rowOff>
    </xdr:to>
    <xdr:sp macro="" textlink="">
      <xdr:nvSpPr>
        <xdr:cNvPr id="91" name="TextBox 90"/>
        <xdr:cNvSpPr txBox="1"/>
      </xdr:nvSpPr>
      <xdr:spPr>
        <a:xfrm>
          <a:off x="9525" y="39385875"/>
          <a:ext cx="7943850" cy="1181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t>It is expected that normalisation of US Federal Reserve (Fed) monetary policy will continue in 2017, given the inflationary support coming from the ongoing rebalancing of the oil market. This may also apply to other major central banks, though a relatively more accommodative stance is expected from some banks, particularly the European Central Bank (ECB) and the Bank of Japan (BoJ). Moreover, global debt levels remain high in some key economies, an issue that will probably require further attention as interest rates may rise gradually and the US dollar may continue to strengthen.</a:t>
          </a:r>
          <a:endParaRPr lang="en-US" sz="1100"/>
        </a:p>
      </xdr:txBody>
    </xdr:sp>
    <xdr:clientData/>
  </xdr:twoCellAnchor>
  <xdr:twoCellAnchor>
    <xdr:from>
      <xdr:col>0</xdr:col>
      <xdr:colOff>0</xdr:colOff>
      <xdr:row>218</xdr:row>
      <xdr:rowOff>0</xdr:rowOff>
    </xdr:from>
    <xdr:to>
      <xdr:col>13</xdr:col>
      <xdr:colOff>600075</xdr:colOff>
      <xdr:row>220</xdr:row>
      <xdr:rowOff>9525</xdr:rowOff>
    </xdr:to>
    <xdr:sp macro="" textlink="">
      <xdr:nvSpPr>
        <xdr:cNvPr id="44" name="TextBox 43"/>
        <xdr:cNvSpPr txBox="1"/>
      </xdr:nvSpPr>
      <xdr:spPr>
        <a:xfrm>
          <a:off x="0" y="41529000"/>
          <a:ext cx="8524875" cy="3905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i="1"/>
            <a:t>Step </a:t>
          </a:r>
          <a:r>
            <a:rPr lang="ru-RU" sz="1800" b="1" i="1"/>
            <a:t>4</a:t>
          </a:r>
          <a:r>
            <a:rPr lang="en-US" sz="1800" b="1" i="1"/>
            <a:t>: Trend-Line Model</a:t>
          </a:r>
        </a:p>
      </xdr:txBody>
    </xdr:sp>
    <xdr:clientData/>
  </xdr:twoCellAnchor>
  <xdr:twoCellAnchor>
    <xdr:from>
      <xdr:col>0</xdr:col>
      <xdr:colOff>9525</xdr:colOff>
      <xdr:row>221</xdr:row>
      <xdr:rowOff>4762</xdr:rowOff>
    </xdr:from>
    <xdr:to>
      <xdr:col>7</xdr:col>
      <xdr:colOff>314325</xdr:colOff>
      <xdr:row>235</xdr:row>
      <xdr:rowOff>80962</xdr:rowOff>
    </xdr:to>
    <xdr:graphicFrame macro="">
      <xdr:nvGraphicFramePr>
        <xdr:cNvPr id="7" name="Диаграмма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xdr:col>
      <xdr:colOff>0</xdr:colOff>
      <xdr:row>221</xdr:row>
      <xdr:rowOff>85725</xdr:rowOff>
    </xdr:from>
    <xdr:to>
      <xdr:col>14</xdr:col>
      <xdr:colOff>19050</xdr:colOff>
      <xdr:row>225</xdr:row>
      <xdr:rowOff>180975</xdr:rowOff>
    </xdr:to>
    <xdr:sp macro="" textlink="">
      <xdr:nvSpPr>
        <xdr:cNvPr id="9" name="TextBox 8"/>
        <xdr:cNvSpPr txBox="1"/>
      </xdr:nvSpPr>
      <xdr:spPr>
        <a:xfrm>
          <a:off x="4876800" y="42186225"/>
          <a:ext cx="3676650" cy="857250"/>
        </a:xfrm>
        <a:prstGeom prst="rect">
          <a:avLst/>
        </a:prstGeom>
        <a:solidFill>
          <a:srgbClr val="CCEC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For modelling I suggest to use only 2016-2017 data to make short-term forecasting more accurate.</a:t>
          </a:r>
        </a:p>
        <a:p>
          <a:endParaRPr lang="en-US" sz="1100"/>
        </a:p>
        <a:p>
          <a:r>
            <a:rPr lang="en-US" sz="1100"/>
            <a:t>I use </a:t>
          </a:r>
          <a:r>
            <a:rPr lang="en-US" sz="1100" b="1" i="0">
              <a:solidFill>
                <a:schemeClr val="dk1"/>
              </a:solidFill>
              <a:effectLst/>
              <a:latin typeface="+mn-lt"/>
              <a:ea typeface="+mn-ea"/>
              <a:cs typeface="+mn-cs"/>
            </a:rPr>
            <a:t>trend-line model</a:t>
          </a:r>
          <a:r>
            <a:rPr lang="en-US" sz="1100" baseline="0"/>
            <a:t> to forecast oil price.</a:t>
          </a:r>
        </a:p>
      </xdr:txBody>
    </xdr:sp>
    <xdr:clientData/>
  </xdr:twoCellAnchor>
  <xdr:twoCellAnchor>
    <xdr:from>
      <xdr:col>8</xdr:col>
      <xdr:colOff>19050</xdr:colOff>
      <xdr:row>227</xdr:row>
      <xdr:rowOff>114301</xdr:rowOff>
    </xdr:from>
    <xdr:to>
      <xdr:col>14</xdr:col>
      <xdr:colOff>9525</xdr:colOff>
      <xdr:row>231</xdr:row>
      <xdr:rowOff>9525</xdr:rowOff>
    </xdr:to>
    <xdr:sp macro="" textlink="">
      <xdr:nvSpPr>
        <xdr:cNvPr id="17" name="TextBox 16"/>
        <xdr:cNvSpPr txBox="1"/>
      </xdr:nvSpPr>
      <xdr:spPr>
        <a:xfrm>
          <a:off x="4895850" y="43357801"/>
          <a:ext cx="3648075" cy="657224"/>
        </a:xfrm>
        <a:prstGeom prst="rect">
          <a:avLst/>
        </a:prstGeom>
        <a:solidFill>
          <a:srgbClr val="99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Conclusion: </a:t>
          </a:r>
          <a:r>
            <a:rPr lang="en-US" sz="1100"/>
            <a:t>Based</a:t>
          </a:r>
          <a:r>
            <a:rPr lang="en-US" sz="1100" baseline="0"/>
            <a:t> on trend-line, we can conclude that oil price is going up. I close future we can expect oil price to reach at least $55.</a:t>
          </a:r>
          <a:endParaRPr lang="ru-RU" sz="1100"/>
        </a:p>
      </xdr:txBody>
    </xdr:sp>
    <xdr:clientData/>
  </xdr:twoCellAnchor>
  <xdr:twoCellAnchor>
    <xdr:from>
      <xdr:col>0</xdr:col>
      <xdr:colOff>0</xdr:colOff>
      <xdr:row>249</xdr:row>
      <xdr:rowOff>0</xdr:rowOff>
    </xdr:from>
    <xdr:to>
      <xdr:col>13</xdr:col>
      <xdr:colOff>600075</xdr:colOff>
      <xdr:row>251</xdr:row>
      <xdr:rowOff>9525</xdr:rowOff>
    </xdr:to>
    <xdr:sp macro="" textlink="">
      <xdr:nvSpPr>
        <xdr:cNvPr id="49" name="TextBox 48"/>
        <xdr:cNvSpPr txBox="1"/>
      </xdr:nvSpPr>
      <xdr:spPr>
        <a:xfrm>
          <a:off x="0" y="45339000"/>
          <a:ext cx="8524875" cy="3905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i="1"/>
            <a:t>Step 5: General</a:t>
          </a:r>
          <a:r>
            <a:rPr lang="en-US" sz="1800" b="1" i="1" baseline="0"/>
            <a:t> conclusion</a:t>
          </a:r>
          <a:endParaRPr lang="en-US" sz="1800" b="1" i="1"/>
        </a:p>
      </xdr:txBody>
    </xdr:sp>
    <xdr:clientData/>
  </xdr:twoCellAnchor>
  <xdr:twoCellAnchor>
    <xdr:from>
      <xdr:col>0</xdr:col>
      <xdr:colOff>19050</xdr:colOff>
      <xdr:row>252</xdr:row>
      <xdr:rowOff>19049</xdr:rowOff>
    </xdr:from>
    <xdr:to>
      <xdr:col>13</xdr:col>
      <xdr:colOff>600075</xdr:colOff>
      <xdr:row>264</xdr:row>
      <xdr:rowOff>180975</xdr:rowOff>
    </xdr:to>
    <xdr:sp macro="" textlink="">
      <xdr:nvSpPr>
        <xdr:cNvPr id="20" name="TextBox 19"/>
        <xdr:cNvSpPr txBox="1"/>
      </xdr:nvSpPr>
      <xdr:spPr>
        <a:xfrm>
          <a:off x="19050" y="48034574"/>
          <a:ext cx="8782050" cy="2447926"/>
        </a:xfrm>
        <a:prstGeom prst="rect">
          <a:avLst/>
        </a:prstGeom>
        <a:solidFill>
          <a:sysClr val="window" lastClr="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t>As we can see from</a:t>
          </a:r>
          <a:r>
            <a:rPr lang="en-US" sz="1100" b="0" i="0" baseline="0"/>
            <a:t> historical data, oil price is highly volatile. It is appears to be extremely difficult to forecast this price since there are many factors that influence the price, they are:</a:t>
          </a:r>
        </a:p>
        <a:p>
          <a:pPr lvl="1"/>
          <a:r>
            <a:rPr lang="en-US" sz="1100" b="0" i="0" baseline="0"/>
            <a:t>a) Global politics and market manipulations </a:t>
          </a:r>
          <a:r>
            <a:rPr lang="en-US" sz="1100" b="0" i="0" baseline="0">
              <a:solidFill>
                <a:schemeClr val="dk1"/>
              </a:solidFill>
              <a:effectLst/>
              <a:latin typeface="+mn-lt"/>
              <a:ea typeface="+mn-ea"/>
              <a:cs typeface="+mn-cs"/>
            </a:rPr>
            <a:t>(first of all).</a:t>
          </a:r>
          <a:endParaRPr lang="en-US" sz="1100" b="0" i="0" baseline="0"/>
        </a:p>
        <a:p>
          <a:pPr lvl="1"/>
          <a:r>
            <a:rPr lang="en-US" sz="1100" b="0" i="0" baseline="0"/>
            <a:t>b) Supply and demand.</a:t>
          </a:r>
        </a:p>
        <a:p>
          <a:pPr lvl="1"/>
          <a:r>
            <a:rPr lang="en-US" sz="1100" b="0" i="0" baseline="0"/>
            <a:t>c) Wars.</a:t>
          </a:r>
        </a:p>
        <a:p>
          <a:pPr lvl="1"/>
          <a:r>
            <a:rPr lang="en-US" sz="1100" b="0" i="0" baseline="0"/>
            <a:t>d) Market expectations based on reports and news. </a:t>
          </a:r>
        </a:p>
        <a:p>
          <a:pPr lvl="1"/>
          <a:r>
            <a:rPr lang="en-US" sz="1100" b="0" i="0" baseline="0"/>
            <a:t>e) Dollar rate</a:t>
          </a:r>
        </a:p>
        <a:p>
          <a:pPr lvl="0"/>
          <a:r>
            <a:rPr lang="en-US" sz="1100" b="0" i="0" baseline="0"/>
            <a:t>But, there are periods that are rather stable. During this periods technical analysis could be applied.</a:t>
          </a:r>
          <a:br>
            <a:rPr lang="en-US" sz="1100" b="0" i="0" baseline="0"/>
          </a:br>
          <a:r>
            <a:rPr lang="en-US" sz="1100" b="0" i="0" baseline="0"/>
            <a:t>So, to forecast oil price first fundamental analysis should be executed and only then technical ( if you want). All news and reports should be monitored (especially main oil market players' reports).</a:t>
          </a:r>
        </a:p>
        <a:p>
          <a:pPr lvl="0"/>
          <a:endParaRPr lang="en-US" sz="1100" b="0" i="0" baseline="0"/>
        </a:p>
        <a:p>
          <a:pPr lvl="0"/>
          <a:r>
            <a:rPr lang="en-US" sz="1100" b="0" i="0" baseline="0"/>
            <a:t>In my opinion, oil price will rise up to at least $60 (likely $70) during 2017. But I expect high volatility.</a:t>
          </a:r>
        </a:p>
        <a:p>
          <a:pPr lvl="0"/>
          <a:r>
            <a:rPr lang="en-US" sz="1100" b="0" i="0" baseline="0"/>
            <a:t>In s</a:t>
          </a:r>
          <a:r>
            <a:rPr lang="ru-RU" sz="1100" b="0" i="0" baseline="0"/>
            <a:t>р</a:t>
          </a:r>
          <a:r>
            <a:rPr lang="en-US" sz="1100" b="0" i="0" baseline="0"/>
            <a:t>ort</a:t>
          </a:r>
          <a:r>
            <a:rPr lang="ru-RU" sz="1100" b="0" i="0" baseline="0"/>
            <a:t>-</a:t>
          </a:r>
          <a:r>
            <a:rPr lang="en-US" sz="1100" b="0" i="0" baseline="0"/>
            <a:t>term period trend line model provides good result as we can see in table above.</a:t>
          </a:r>
        </a:p>
      </xdr:txBody>
    </xdr:sp>
    <xdr:clientData/>
  </xdr:twoCellAnchor>
  <xdr:twoCellAnchor>
    <xdr:from>
      <xdr:col>0</xdr:col>
      <xdr:colOff>0</xdr:colOff>
      <xdr:row>235</xdr:row>
      <xdr:rowOff>171449</xdr:rowOff>
    </xdr:from>
    <xdr:to>
      <xdr:col>7</xdr:col>
      <xdr:colOff>314325</xdr:colOff>
      <xdr:row>248</xdr:row>
      <xdr:rowOff>109536</xdr:rowOff>
    </xdr:to>
    <xdr:graphicFrame macro="">
      <xdr:nvGraphicFramePr>
        <xdr:cNvPr id="30" name="Диаграмма 2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hyperlink" Target="http://www.reuters.com/article/us-opec-meeting-idUSKCN0JA0O320141128" TargetMode="External"/></Relationships>
</file>

<file path=xl/worksheets/_rels/sheet5.xml.rels><?xml version="1.0" encoding="UTF-8" standalone="yes"?>
<Relationships xmlns="http://schemas.openxmlformats.org/package/2006/relationships"><Relationship Id="rId3" Type="http://schemas.openxmlformats.org/officeDocument/2006/relationships/hyperlink" Target="http://www.macrotrends.net/1369/crude-oil-price-history-chart" TargetMode="External"/><Relationship Id="rId2" Type="http://schemas.openxmlformats.org/officeDocument/2006/relationships/hyperlink" Target="http://peakoilbarrel.com/opec-crude-oil-production-charts/" TargetMode="External"/><Relationship Id="rId1" Type="http://schemas.openxmlformats.org/officeDocument/2006/relationships/hyperlink" Target="http://www.opec.org/" TargetMode="External"/><Relationship Id="rId5" Type="http://schemas.openxmlformats.org/officeDocument/2006/relationships/drawing" Target="../drawings/drawing5.xml"/><Relationship Id="rId4" Type="http://schemas.openxmlformats.org/officeDocument/2006/relationships/hyperlink" Target="http://www.opec.org/"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peakoilbarrel.com/opec-crude-oil-production-charts/" TargetMode="External"/><Relationship Id="rId3" Type="http://schemas.openxmlformats.org/officeDocument/2006/relationships/hyperlink" Target="https://www.eia.gov/" TargetMode="External"/><Relationship Id="rId7" Type="http://schemas.openxmlformats.org/officeDocument/2006/relationships/hyperlink" Target="http://www.macrotrends.net/1369/crude-oil-price-history-chart" TargetMode="External"/><Relationship Id="rId12" Type="http://schemas.openxmlformats.org/officeDocument/2006/relationships/hyperlink" Target="http://www.macrotrends.net/1369/crude-oil-price-history-chart" TargetMode="External"/><Relationship Id="rId2" Type="http://schemas.openxmlformats.org/officeDocument/2006/relationships/hyperlink" Target="http://www.tradingeconomics.com/" TargetMode="External"/><Relationship Id="rId1" Type="http://schemas.openxmlformats.org/officeDocument/2006/relationships/hyperlink" Target="https://finance.yahoo.com/" TargetMode="External"/><Relationship Id="rId6" Type="http://schemas.openxmlformats.org/officeDocument/2006/relationships/hyperlink" Target="https://www.thealertinvestor.com/oil-and-the-dollar/" TargetMode="External"/><Relationship Id="rId11" Type="http://schemas.openxmlformats.org/officeDocument/2006/relationships/hyperlink" Target="http://peakoilbarrel.com/opec-crude-oil-production-charts/" TargetMode="External"/><Relationship Id="rId5" Type="http://schemas.openxmlformats.org/officeDocument/2006/relationships/hyperlink" Target="http://oilprice.com/Energy/Oil-Prices/Did-The-Saudis-And-The-US-Collude-In-Dropping-Oil-Prices.html" TargetMode="External"/><Relationship Id="rId10" Type="http://schemas.openxmlformats.org/officeDocument/2006/relationships/hyperlink" Target="http://www.opec.org/" TargetMode="External"/><Relationship Id="rId4" Type="http://schemas.openxmlformats.org/officeDocument/2006/relationships/hyperlink" Target="http://www.reuters.com/article/us-opec-meeting-idUSKCN0JA0O320141128" TargetMode="External"/><Relationship Id="rId9" Type="http://schemas.openxmlformats.org/officeDocument/2006/relationships/hyperlink" Target="http://www.opec.or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O47"/>
  <sheetViews>
    <sheetView topLeftCell="E19" zoomScaleNormal="100" workbookViewId="0">
      <selection activeCell="N34" sqref="N34"/>
    </sheetView>
  </sheetViews>
  <sheetFormatPr defaultRowHeight="15" x14ac:dyDescent="0.25"/>
  <cols>
    <col min="1" max="1" width="20.42578125" customWidth="1"/>
    <col min="2" max="2" width="13.7109375" customWidth="1"/>
    <col min="3" max="3" width="16.28515625" customWidth="1"/>
    <col min="4" max="4" width="21" customWidth="1"/>
    <col min="5" max="5" width="17.7109375" customWidth="1"/>
    <col min="10" max="10" width="8" customWidth="1"/>
    <col min="11" max="11" width="7" customWidth="1"/>
    <col min="12" max="12" width="19.140625" customWidth="1"/>
    <col min="13" max="13" width="18.7109375" customWidth="1"/>
    <col min="14" max="14" width="19.5703125" customWidth="1"/>
    <col min="15" max="15" width="18.28515625" customWidth="1"/>
  </cols>
  <sheetData>
    <row r="1" spans="1:15" ht="18.75" x14ac:dyDescent="0.3">
      <c r="A1" s="1"/>
      <c r="B1" s="1"/>
      <c r="C1" s="1"/>
      <c r="D1" s="1"/>
      <c r="E1" s="1"/>
      <c r="F1" s="1"/>
      <c r="G1" s="1"/>
      <c r="H1" s="1"/>
      <c r="I1" s="1"/>
      <c r="J1" s="1"/>
      <c r="K1" s="1"/>
      <c r="L1" s="1"/>
      <c r="M1" s="1"/>
      <c r="N1" s="1"/>
    </row>
    <row r="3" spans="1:15" ht="15.75" customHeight="1" x14ac:dyDescent="0.25">
      <c r="A3" s="2"/>
      <c r="B3" s="3"/>
      <c r="C3" s="3"/>
      <c r="D3" s="3"/>
      <c r="E3" s="3"/>
      <c r="F3" s="3"/>
      <c r="G3" s="3"/>
      <c r="H3" s="3"/>
      <c r="I3" s="3"/>
      <c r="J3" s="3"/>
      <c r="K3" s="3"/>
      <c r="L3" s="3"/>
      <c r="M3" s="3"/>
      <c r="N3" s="3"/>
      <c r="O3" s="3"/>
    </row>
    <row r="4" spans="1:15" ht="15.75" customHeight="1" x14ac:dyDescent="0.25">
      <c r="A4" s="2"/>
      <c r="B4" s="3"/>
      <c r="C4" s="3"/>
      <c r="D4" s="3"/>
      <c r="E4" s="3"/>
      <c r="F4" s="3"/>
      <c r="G4" s="3"/>
      <c r="H4" s="3"/>
      <c r="I4" s="3"/>
      <c r="J4" s="3"/>
      <c r="K4" s="3"/>
      <c r="L4" s="3"/>
      <c r="M4" s="3"/>
      <c r="N4" s="3"/>
      <c r="O4" s="3"/>
    </row>
    <row r="5" spans="1:15" ht="15.75" customHeight="1" x14ac:dyDescent="0.25">
      <c r="A5" s="2"/>
      <c r="B5" s="3"/>
      <c r="C5" s="3"/>
      <c r="D5" s="3"/>
      <c r="E5" s="3"/>
      <c r="F5" s="3"/>
      <c r="G5" s="3"/>
      <c r="H5" s="3"/>
      <c r="I5" s="3"/>
      <c r="J5" s="3"/>
      <c r="K5" s="3"/>
      <c r="L5" s="3"/>
      <c r="M5" s="3"/>
      <c r="N5" s="3"/>
      <c r="O5" s="3"/>
    </row>
    <row r="6" spans="1:15" ht="15.75" customHeight="1" x14ac:dyDescent="0.25">
      <c r="A6" s="2"/>
      <c r="B6" s="3"/>
      <c r="C6" s="3"/>
      <c r="D6" s="3"/>
      <c r="E6" s="3"/>
      <c r="F6" s="3"/>
      <c r="G6" s="3"/>
      <c r="H6" s="3"/>
      <c r="I6" s="3"/>
      <c r="J6" s="3"/>
      <c r="K6" s="3"/>
      <c r="L6" s="3"/>
      <c r="M6" s="3"/>
      <c r="N6" s="3"/>
      <c r="O6" s="3"/>
    </row>
    <row r="7" spans="1:15" ht="15.75" customHeight="1" x14ac:dyDescent="0.25">
      <c r="A7" s="2"/>
      <c r="B7" s="3"/>
      <c r="C7" s="3"/>
      <c r="D7" s="3"/>
      <c r="E7" s="3"/>
      <c r="F7" s="3"/>
      <c r="G7" s="3"/>
      <c r="H7" s="3"/>
      <c r="I7" s="3"/>
      <c r="J7" s="3"/>
      <c r="K7" s="3"/>
      <c r="L7" s="3"/>
      <c r="M7" s="3"/>
      <c r="N7" s="3"/>
      <c r="O7" s="3"/>
    </row>
    <row r="8" spans="1:15" ht="15.75" customHeight="1" x14ac:dyDescent="0.25">
      <c r="A8" s="2"/>
      <c r="B8" s="3"/>
      <c r="C8" s="3"/>
      <c r="D8" s="3"/>
      <c r="E8" s="3"/>
      <c r="F8" s="3"/>
      <c r="G8" s="3"/>
      <c r="H8" s="3"/>
      <c r="I8" s="3"/>
      <c r="J8" s="3"/>
      <c r="K8" s="3"/>
      <c r="L8" s="3"/>
      <c r="M8" s="3"/>
      <c r="N8" s="3"/>
      <c r="O8" s="3"/>
    </row>
    <row r="13" spans="1:15" x14ac:dyDescent="0.25">
      <c r="B13" s="4"/>
    </row>
    <row r="14" spans="1:15" x14ac:dyDescent="0.25">
      <c r="B14" s="4"/>
    </row>
    <row r="15" spans="1:15" x14ac:dyDescent="0.25">
      <c r="B15" s="4"/>
    </row>
    <row r="16" spans="1:15" x14ac:dyDescent="0.25">
      <c r="B16" s="4"/>
    </row>
    <row r="17" spans="1:15" x14ac:dyDescent="0.25">
      <c r="B17" s="4"/>
    </row>
    <row r="18" spans="1:15" x14ac:dyDescent="0.25">
      <c r="B18" s="4"/>
    </row>
    <row r="19" spans="1:15" x14ac:dyDescent="0.25">
      <c r="B19" s="4"/>
    </row>
    <row r="20" spans="1:15" x14ac:dyDescent="0.25">
      <c r="B20" s="4"/>
    </row>
    <row r="32" spans="1:15" x14ac:dyDescent="0.25">
      <c r="A32" s="54" t="s">
        <v>4</v>
      </c>
      <c r="B32" s="55"/>
      <c r="C32" s="55"/>
      <c r="D32" s="55"/>
      <c r="E32" s="55"/>
      <c r="F32" s="57" t="s">
        <v>13</v>
      </c>
      <c r="G32" s="57"/>
      <c r="H32" s="57"/>
      <c r="I32" s="57"/>
      <c r="J32" s="57"/>
      <c r="K32" s="57"/>
      <c r="L32" s="56" t="s">
        <v>12</v>
      </c>
      <c r="M32" s="56"/>
      <c r="N32" s="58" t="s">
        <v>92</v>
      </c>
      <c r="O32" s="58"/>
    </row>
    <row r="33" spans="1:15" ht="34.5" customHeight="1" x14ac:dyDescent="0.35">
      <c r="A33" s="8" t="s">
        <v>3</v>
      </c>
      <c r="B33" s="9" t="s">
        <v>0</v>
      </c>
      <c r="C33" s="9" t="s">
        <v>1</v>
      </c>
      <c r="D33" s="10" t="s">
        <v>5</v>
      </c>
      <c r="E33" s="11" t="s">
        <v>2</v>
      </c>
      <c r="F33" s="13" t="s">
        <v>9</v>
      </c>
      <c r="G33" s="13" t="s">
        <v>7</v>
      </c>
      <c r="H33" s="13" t="s">
        <v>6</v>
      </c>
      <c r="I33" s="13" t="s">
        <v>8</v>
      </c>
      <c r="J33" s="13" t="s">
        <v>14</v>
      </c>
      <c r="K33" s="13" t="s">
        <v>15</v>
      </c>
      <c r="L33" s="16" t="s">
        <v>10</v>
      </c>
      <c r="M33" s="16" t="s">
        <v>11</v>
      </c>
      <c r="N33" s="53" t="s">
        <v>10</v>
      </c>
      <c r="O33" s="53" t="s">
        <v>11</v>
      </c>
    </row>
    <row r="34" spans="1:15" x14ac:dyDescent="0.25">
      <c r="A34" s="12">
        <f>'Microsoft stock price'!L6</f>
        <v>65.730002999999996</v>
      </c>
      <c r="B34" s="12">
        <f>A34</f>
        <v>65.730002999999996</v>
      </c>
      <c r="C34" s="12">
        <f>'Microsoft stock price'!J6</f>
        <v>1E-3</v>
      </c>
      <c r="D34" s="12">
        <f>'Microsoft stock price'!M6</f>
        <v>0.18279179561949035</v>
      </c>
      <c r="E34" s="12">
        <f>'Microsoft stock price'!K6</f>
        <v>1</v>
      </c>
      <c r="F34" s="14">
        <f xml:space="preserve"> (LN(A34/B34) + (C34+(D34^2)/2)*E34) / (D34 * SQRT(E34))</f>
        <v>9.68666028630598E-2</v>
      </c>
      <c r="G34" s="14">
        <f xml:space="preserve"> F34 - ( D34* SQRT(E34))</f>
        <v>-8.5925192756430555E-2</v>
      </c>
      <c r="H34" s="14">
        <f>_xlfn.NORM.S.DIST(F34,TRUE)</f>
        <v>0.53858383444917757</v>
      </c>
      <c r="I34" s="14">
        <f>_xlfn.NORM.S.DIST(G34,TRUE)</f>
        <v>0.46576294232313009</v>
      </c>
      <c r="J34" s="14">
        <f>_xlfn.NORM.S.DIST(-F34,TRUE)</f>
        <v>0.46141616555082238</v>
      </c>
      <c r="K34" s="14">
        <f>_xlfn.NORM.S.DIST(-G34,TRUE)</f>
        <v>0.53423705767686991</v>
      </c>
      <c r="L34" s="17">
        <f xml:space="preserve"> ( A34 * H34 ) - ( B34 * EXP(-C34*E34) * I34 )</f>
        <v>4.8171167553053209</v>
      </c>
      <c r="M34" s="17">
        <f xml:space="preserve">  ( B34 * EXP(-C34*E34) *K34 ) - ( A34 *J34 )</f>
        <v>4.7514196063545668</v>
      </c>
      <c r="N34" s="35">
        <f>BlackScholes(A34,B34,C34,D34,E34,"C")</f>
        <v>4.8171167553053236</v>
      </c>
      <c r="O34" s="35">
        <f>BlackScholes(A34,B34,C34,D34,E34,"P")</f>
        <v>4.7514196063545668</v>
      </c>
    </row>
    <row r="35" spans="1:15" x14ac:dyDescent="0.25">
      <c r="A35" s="18"/>
      <c r="B35" s="18"/>
      <c r="C35" s="18"/>
      <c r="D35" s="18"/>
      <c r="E35" s="18"/>
      <c r="F35" s="18"/>
      <c r="G35" s="18"/>
      <c r="H35" s="18"/>
      <c r="I35" s="18"/>
      <c r="J35" s="18"/>
      <c r="K35" s="18"/>
      <c r="L35" s="18"/>
      <c r="M35" s="18"/>
    </row>
    <row r="36" spans="1:15" x14ac:dyDescent="0.25">
      <c r="A36" s="18"/>
      <c r="B36" s="18"/>
      <c r="C36" s="18"/>
      <c r="D36" s="18"/>
      <c r="E36" s="18"/>
      <c r="F36" s="18"/>
      <c r="G36" s="18"/>
      <c r="H36" s="18"/>
      <c r="I36" s="18"/>
      <c r="J36" s="18"/>
      <c r="K36" s="18"/>
      <c r="L36" s="18"/>
      <c r="M36" s="18"/>
    </row>
    <row r="37" spans="1:15" x14ac:dyDescent="0.25">
      <c r="A37" s="18"/>
      <c r="B37" s="18"/>
      <c r="C37" s="18"/>
      <c r="D37" s="18"/>
      <c r="E37" s="18"/>
      <c r="F37" s="18"/>
      <c r="G37" s="18"/>
      <c r="H37" s="18"/>
      <c r="I37" s="18"/>
      <c r="J37" s="18"/>
      <c r="K37" s="18"/>
      <c r="L37" s="18"/>
      <c r="M37" s="18"/>
    </row>
    <row r="38" spans="1:15" x14ac:dyDescent="0.25">
      <c r="A38" s="20"/>
      <c r="B38" s="19"/>
      <c r="C38" s="19"/>
      <c r="D38" s="19"/>
      <c r="E38" s="19"/>
      <c r="F38" s="18"/>
      <c r="G38" s="18"/>
      <c r="H38" s="18"/>
      <c r="I38" s="18"/>
      <c r="J38" s="18"/>
      <c r="K38" s="18"/>
      <c r="L38" s="18"/>
      <c r="M38" s="18"/>
    </row>
    <row r="39" spans="1:15" x14ac:dyDescent="0.25">
      <c r="A39" s="18"/>
      <c r="B39" s="18"/>
      <c r="C39" s="18"/>
      <c r="D39" s="18"/>
      <c r="E39" s="18"/>
      <c r="F39" s="18"/>
      <c r="G39" s="18"/>
      <c r="H39" s="18"/>
      <c r="I39" s="18"/>
      <c r="J39" s="18"/>
      <c r="K39" s="18"/>
      <c r="L39" s="18"/>
      <c r="M39" s="18"/>
    </row>
    <row r="40" spans="1:15" x14ac:dyDescent="0.25">
      <c r="A40" s="18"/>
      <c r="B40" s="18"/>
      <c r="C40" s="18"/>
      <c r="D40" s="18"/>
      <c r="E40" s="18"/>
      <c r="F40" s="18"/>
      <c r="G40" s="18"/>
      <c r="H40" s="18"/>
      <c r="I40" s="18"/>
      <c r="J40" s="18"/>
      <c r="K40" s="18"/>
      <c r="L40" s="18"/>
      <c r="M40" s="18"/>
    </row>
    <row r="41" spans="1:15" x14ac:dyDescent="0.25">
      <c r="A41" s="18"/>
      <c r="B41" s="18"/>
      <c r="C41" s="18"/>
      <c r="D41" s="18"/>
      <c r="E41" s="18"/>
      <c r="F41" s="18"/>
      <c r="G41" s="18"/>
      <c r="H41" s="18"/>
      <c r="I41" s="18"/>
      <c r="J41" s="18"/>
      <c r="K41" s="18"/>
      <c r="L41" s="18"/>
      <c r="M41" s="18"/>
    </row>
    <row r="42" spans="1:15" x14ac:dyDescent="0.25">
      <c r="A42" s="18"/>
      <c r="B42" s="18"/>
      <c r="C42" s="18"/>
      <c r="D42" s="18"/>
      <c r="E42" s="18"/>
      <c r="F42" s="18"/>
      <c r="G42" s="18"/>
      <c r="H42" s="18"/>
      <c r="I42" s="18"/>
      <c r="J42" s="18"/>
      <c r="K42" s="18"/>
      <c r="L42" s="18"/>
      <c r="M42" s="18"/>
    </row>
    <row r="43" spans="1:15" x14ac:dyDescent="0.25">
      <c r="A43" s="18"/>
      <c r="B43" s="18"/>
      <c r="C43" s="18"/>
      <c r="D43" s="18"/>
      <c r="E43" s="18"/>
      <c r="F43" s="18"/>
      <c r="G43" s="18"/>
      <c r="H43" s="18"/>
      <c r="I43" s="18"/>
      <c r="J43" s="18"/>
      <c r="K43" s="18"/>
      <c r="L43" s="18"/>
      <c r="M43" s="18"/>
    </row>
    <row r="44" spans="1:15" x14ac:dyDescent="0.25">
      <c r="A44" s="18"/>
      <c r="B44" s="18"/>
      <c r="C44" s="18"/>
      <c r="D44" s="18"/>
      <c r="E44" s="18"/>
      <c r="F44" s="18"/>
      <c r="G44" s="18"/>
      <c r="H44" s="18"/>
      <c r="I44" s="18"/>
      <c r="J44" s="18"/>
      <c r="K44" s="18"/>
      <c r="L44" s="18"/>
      <c r="M44" s="18"/>
    </row>
    <row r="45" spans="1:15" x14ac:dyDescent="0.25">
      <c r="A45" s="18"/>
      <c r="B45" s="18"/>
      <c r="C45" s="18"/>
      <c r="D45" s="18"/>
      <c r="E45" s="18"/>
      <c r="F45" s="18"/>
      <c r="G45" s="18"/>
      <c r="H45" s="18"/>
      <c r="I45" s="18"/>
      <c r="J45" s="18"/>
      <c r="K45" s="18"/>
      <c r="L45" s="18"/>
      <c r="M45" s="18"/>
    </row>
    <row r="46" spans="1:15" x14ac:dyDescent="0.25">
      <c r="A46" s="18"/>
      <c r="B46" s="18"/>
      <c r="C46" s="18"/>
      <c r="D46" s="18"/>
      <c r="E46" s="18"/>
      <c r="F46" s="18"/>
      <c r="G46" s="18"/>
      <c r="H46" s="18"/>
      <c r="I46" s="18"/>
      <c r="J46" s="18"/>
      <c r="K46" s="18"/>
      <c r="L46" s="18"/>
      <c r="M46" s="18"/>
    </row>
    <row r="47" spans="1:15" x14ac:dyDescent="0.25">
      <c r="A47" s="18"/>
      <c r="B47" s="18"/>
      <c r="C47" s="18"/>
      <c r="D47" s="18"/>
      <c r="E47" s="18"/>
      <c r="F47" s="18"/>
      <c r="G47" s="18"/>
      <c r="H47" s="18"/>
      <c r="I47" s="18"/>
      <c r="J47" s="18"/>
      <c r="K47" s="18"/>
      <c r="L47" s="18"/>
      <c r="M47" s="18"/>
    </row>
  </sheetData>
  <mergeCells count="4">
    <mergeCell ref="A32:E32"/>
    <mergeCell ref="L32:M32"/>
    <mergeCell ref="F32:K32"/>
    <mergeCell ref="N32:O32"/>
  </mergeCells>
  <pageMargins left="0.7" right="0.7" top="0.75" bottom="0.75" header="0.3" footer="0.3"/>
  <pageSetup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4:T258"/>
  <sheetViews>
    <sheetView topLeftCell="F37" workbookViewId="0">
      <selection activeCell="M33" sqref="M33:T33"/>
    </sheetView>
  </sheetViews>
  <sheetFormatPr defaultRowHeight="15" x14ac:dyDescent="0.25"/>
  <cols>
    <col min="1" max="1" width="16" style="21" customWidth="1"/>
    <col min="8" max="8" width="11.5703125" customWidth="1"/>
    <col min="10" max="10" width="12.7109375" customWidth="1"/>
    <col min="11" max="11" width="20.85546875" customWidth="1"/>
    <col min="12" max="12" width="13.28515625" customWidth="1"/>
    <col min="13" max="13" width="19.5703125" customWidth="1"/>
    <col min="14" max="14" width="9.140625" customWidth="1"/>
    <col min="21" max="22" width="9.140625" customWidth="1"/>
  </cols>
  <sheetData>
    <row r="4" spans="1:16" x14ac:dyDescent="0.25">
      <c r="A4" s="62" t="s">
        <v>23</v>
      </c>
      <c r="B4" s="62"/>
      <c r="C4" s="62"/>
      <c r="D4" s="62"/>
      <c r="E4" s="62"/>
      <c r="F4" s="62"/>
      <c r="G4" s="62"/>
      <c r="H4" s="27"/>
      <c r="J4" s="66" t="s">
        <v>24</v>
      </c>
      <c r="K4" s="67"/>
      <c r="L4" s="67"/>
      <c r="M4" s="67"/>
      <c r="N4" s="5"/>
      <c r="O4" s="5"/>
      <c r="P4" s="5"/>
    </row>
    <row r="5" spans="1:16" x14ac:dyDescent="0.25">
      <c r="A5" s="25" t="s">
        <v>16</v>
      </c>
      <c r="B5" s="23" t="s">
        <v>17</v>
      </c>
      <c r="C5" s="23" t="s">
        <v>18</v>
      </c>
      <c r="D5" s="23" t="s">
        <v>19</v>
      </c>
      <c r="E5" s="23" t="s">
        <v>20</v>
      </c>
      <c r="F5" s="23" t="s">
        <v>21</v>
      </c>
      <c r="G5" s="23" t="s">
        <v>22</v>
      </c>
      <c r="H5" s="23" t="s">
        <v>32</v>
      </c>
      <c r="J5" s="23" t="s">
        <v>25</v>
      </c>
      <c r="K5" s="23" t="s">
        <v>30</v>
      </c>
      <c r="L5" s="23" t="s">
        <v>26</v>
      </c>
      <c r="M5" s="23" t="s">
        <v>31</v>
      </c>
    </row>
    <row r="6" spans="1:16" x14ac:dyDescent="0.25">
      <c r="A6" s="24">
        <v>42829</v>
      </c>
      <c r="B6" s="22">
        <v>65.389999000000003</v>
      </c>
      <c r="C6" s="22">
        <v>65.809997999999993</v>
      </c>
      <c r="D6" s="22">
        <v>65.279999000000004</v>
      </c>
      <c r="E6" s="22">
        <v>65.730002999999996</v>
      </c>
      <c r="F6" s="22">
        <v>12981200</v>
      </c>
      <c r="G6" s="22">
        <v>65.730002999999996</v>
      </c>
      <c r="H6" s="22">
        <f>(G6-G7)/G7</f>
        <v>2.7459952976660062E-3</v>
      </c>
      <c r="J6" s="22">
        <v>1E-3</v>
      </c>
      <c r="K6" s="26">
        <v>1</v>
      </c>
      <c r="L6" s="22">
        <v>65.730002999999996</v>
      </c>
      <c r="M6" s="22">
        <f>M32</f>
        <v>0.18279179561949035</v>
      </c>
    </row>
    <row r="7" spans="1:16" x14ac:dyDescent="0.25">
      <c r="A7" s="24">
        <v>42828</v>
      </c>
      <c r="B7" s="22">
        <v>65.809997999999993</v>
      </c>
      <c r="C7" s="22">
        <v>65.940002000000007</v>
      </c>
      <c r="D7" s="22">
        <v>65.190002000000007</v>
      </c>
      <c r="E7" s="22">
        <v>65.550003000000004</v>
      </c>
      <c r="F7" s="22">
        <v>20352800</v>
      </c>
      <c r="G7" s="22">
        <v>65.550003000000004</v>
      </c>
      <c r="H7" s="22">
        <f>(G7-G8)/G8</f>
        <v>-4.7069237062415644E-3</v>
      </c>
    </row>
    <row r="8" spans="1:16" x14ac:dyDescent="0.25">
      <c r="A8" s="24">
        <v>42825</v>
      </c>
      <c r="B8" s="22">
        <v>65.650002000000001</v>
      </c>
      <c r="C8" s="22">
        <v>66.190002000000007</v>
      </c>
      <c r="D8" s="22">
        <v>65.449996999999996</v>
      </c>
      <c r="E8" s="22">
        <v>65.860000999999997</v>
      </c>
      <c r="F8" s="22">
        <v>21001100</v>
      </c>
      <c r="G8" s="22">
        <v>65.860000999999997</v>
      </c>
      <c r="H8" s="22">
        <f t="shared" ref="H8:H69" si="0">(G8-G9)/G9</f>
        <v>2.2827880426539138E-3</v>
      </c>
    </row>
    <row r="9" spans="1:16" x14ac:dyDescent="0.25">
      <c r="A9" s="24">
        <v>42824</v>
      </c>
      <c r="B9" s="22">
        <v>65.419998000000007</v>
      </c>
      <c r="C9" s="22">
        <v>65.980002999999996</v>
      </c>
      <c r="D9" s="22">
        <v>65.360000999999997</v>
      </c>
      <c r="E9" s="22">
        <v>65.709998999999996</v>
      </c>
      <c r="F9" s="22">
        <v>15100400</v>
      </c>
      <c r="G9" s="22">
        <v>65.709998999999996</v>
      </c>
      <c r="H9" s="22">
        <f t="shared" si="0"/>
        <v>3.6657705259543214E-3</v>
      </c>
    </row>
    <row r="10" spans="1:16" x14ac:dyDescent="0.25">
      <c r="A10" s="24">
        <v>42823</v>
      </c>
      <c r="B10" s="22">
        <v>65.120002999999997</v>
      </c>
      <c r="C10" s="22">
        <v>65.5</v>
      </c>
      <c r="D10" s="22">
        <v>64.949996999999996</v>
      </c>
      <c r="E10" s="22">
        <v>65.470000999999996</v>
      </c>
      <c r="F10" s="22">
        <v>13512400</v>
      </c>
      <c r="G10" s="22">
        <v>65.470000999999996</v>
      </c>
      <c r="H10" s="22">
        <f t="shared" si="0"/>
        <v>2.7569305750200952E-3</v>
      </c>
    </row>
    <row r="11" spans="1:16" x14ac:dyDescent="0.25">
      <c r="A11" s="24">
        <v>42822</v>
      </c>
      <c r="B11" s="22">
        <v>64.959998999999996</v>
      </c>
      <c r="C11" s="22">
        <v>65.470000999999996</v>
      </c>
      <c r="D11" s="22">
        <v>64.650002000000001</v>
      </c>
      <c r="E11" s="22">
        <v>65.290001000000004</v>
      </c>
      <c r="F11" s="22">
        <v>20039300</v>
      </c>
      <c r="G11" s="22">
        <v>65.290001000000004</v>
      </c>
      <c r="H11" s="22">
        <f t="shared" si="0"/>
        <v>2.9186329621700507E-3</v>
      </c>
    </row>
    <row r="12" spans="1:16" x14ac:dyDescent="0.25">
      <c r="A12" s="24">
        <v>42821</v>
      </c>
      <c r="B12" s="22">
        <v>64.629997000000003</v>
      </c>
      <c r="C12" s="22">
        <v>65.220000999999996</v>
      </c>
      <c r="D12" s="22">
        <v>64.349997999999999</v>
      </c>
      <c r="E12" s="22">
        <v>65.099997999999999</v>
      </c>
      <c r="F12" s="22">
        <v>18550200</v>
      </c>
      <c r="G12" s="22">
        <v>65.099997999999999</v>
      </c>
      <c r="H12" s="22">
        <f t="shared" si="0"/>
        <v>1.8466450363199115E-3</v>
      </c>
    </row>
    <row r="13" spans="1:16" x14ac:dyDescent="0.25">
      <c r="A13" s="24">
        <v>42818</v>
      </c>
      <c r="B13" s="22">
        <v>65.360000999999997</v>
      </c>
      <c r="C13" s="22">
        <v>65.449996999999996</v>
      </c>
      <c r="D13" s="22">
        <v>64.760002</v>
      </c>
      <c r="E13" s="22">
        <v>64.980002999999996</v>
      </c>
      <c r="F13" s="22">
        <v>22373200</v>
      </c>
      <c r="G13" s="22">
        <v>64.980002999999996</v>
      </c>
      <c r="H13" s="22">
        <f t="shared" si="0"/>
        <v>1.6956990120687899E-3</v>
      </c>
    </row>
    <row r="14" spans="1:16" x14ac:dyDescent="0.25">
      <c r="A14" s="24">
        <v>42817</v>
      </c>
      <c r="B14" s="22">
        <v>64.940002000000007</v>
      </c>
      <c r="C14" s="22">
        <v>65.239998</v>
      </c>
      <c r="D14" s="22">
        <v>64.769997000000004</v>
      </c>
      <c r="E14" s="22">
        <v>64.870002999999997</v>
      </c>
      <c r="F14" s="22">
        <v>18819600</v>
      </c>
      <c r="G14" s="22">
        <v>64.870002999999997</v>
      </c>
      <c r="H14" s="22">
        <f t="shared" si="0"/>
        <v>-2.4603414187351698E-3</v>
      </c>
    </row>
    <row r="15" spans="1:16" x14ac:dyDescent="0.25">
      <c r="A15" s="24">
        <v>42816</v>
      </c>
      <c r="B15" s="22">
        <v>64.120002999999997</v>
      </c>
      <c r="C15" s="22">
        <v>65.139999000000003</v>
      </c>
      <c r="D15" s="22">
        <v>64.120002999999997</v>
      </c>
      <c r="E15" s="22">
        <v>65.029999000000004</v>
      </c>
      <c r="F15" s="22">
        <v>20632800</v>
      </c>
      <c r="G15" s="22">
        <v>65.029999000000004</v>
      </c>
      <c r="H15" s="22">
        <f t="shared" si="0"/>
        <v>1.2770596679187106E-2</v>
      </c>
    </row>
    <row r="16" spans="1:16" x14ac:dyDescent="0.25">
      <c r="A16" s="24">
        <v>42815</v>
      </c>
      <c r="B16" s="22">
        <v>65.190002000000007</v>
      </c>
      <c r="C16" s="22">
        <v>65.5</v>
      </c>
      <c r="D16" s="22">
        <v>64.129997000000003</v>
      </c>
      <c r="E16" s="22">
        <v>64.209998999999996</v>
      </c>
      <c r="F16" s="22">
        <v>26191800</v>
      </c>
      <c r="G16" s="22">
        <v>64.209998999999996</v>
      </c>
      <c r="H16" s="22">
        <f t="shared" si="0"/>
        <v>-1.1088880332666109E-2</v>
      </c>
    </row>
    <row r="17" spans="1:20" x14ac:dyDescent="0.25">
      <c r="A17" s="24">
        <v>42814</v>
      </c>
      <c r="B17" s="22">
        <v>64.910004000000001</v>
      </c>
      <c r="C17" s="22">
        <v>65.180000000000007</v>
      </c>
      <c r="D17" s="22">
        <v>64.720000999999996</v>
      </c>
      <c r="E17" s="22">
        <v>64.930000000000007</v>
      </c>
      <c r="F17" s="22">
        <v>12744200</v>
      </c>
      <c r="G17" s="22">
        <v>64.930000000000007</v>
      </c>
      <c r="H17" s="22">
        <f t="shared" si="0"/>
        <v>9.2488048751916739E-4</v>
      </c>
    </row>
    <row r="18" spans="1:20" x14ac:dyDescent="0.25">
      <c r="A18" s="24">
        <v>42811</v>
      </c>
      <c r="B18" s="22">
        <v>64.910004000000001</v>
      </c>
      <c r="C18" s="22">
        <v>65.239998</v>
      </c>
      <c r="D18" s="22">
        <v>64.680000000000007</v>
      </c>
      <c r="E18" s="22">
        <v>64.870002999999997</v>
      </c>
      <c r="F18" s="22">
        <v>48994700</v>
      </c>
      <c r="G18" s="22">
        <v>64.870002999999997</v>
      </c>
      <c r="H18" s="22">
        <f t="shared" si="0"/>
        <v>3.5582302530665862E-3</v>
      </c>
    </row>
    <row r="19" spans="1:20" x14ac:dyDescent="0.25">
      <c r="A19" s="24">
        <v>42810</v>
      </c>
      <c r="B19" s="22">
        <v>64.75</v>
      </c>
      <c r="C19" s="22">
        <v>64.760002</v>
      </c>
      <c r="D19" s="22">
        <v>64.300003000000004</v>
      </c>
      <c r="E19" s="22">
        <v>64.639999000000003</v>
      </c>
      <c r="F19" s="22">
        <v>20532600</v>
      </c>
      <c r="G19" s="22">
        <v>64.639999000000003</v>
      </c>
      <c r="H19" s="22">
        <f t="shared" si="0"/>
        <v>-1.6988571428570951E-3</v>
      </c>
    </row>
    <row r="20" spans="1:20" x14ac:dyDescent="0.25">
      <c r="A20" s="24">
        <v>42809</v>
      </c>
      <c r="B20" s="22">
        <v>64.550003000000004</v>
      </c>
      <c r="C20" s="22">
        <v>64.919998000000007</v>
      </c>
      <c r="D20" s="22">
        <v>64.25</v>
      </c>
      <c r="E20" s="22">
        <v>64.75</v>
      </c>
      <c r="F20" s="22">
        <v>20501900</v>
      </c>
      <c r="G20" s="22">
        <v>64.75</v>
      </c>
      <c r="H20" s="22">
        <f t="shared" si="0"/>
        <v>5.2786210042775235E-3</v>
      </c>
    </row>
    <row r="21" spans="1:20" x14ac:dyDescent="0.25">
      <c r="A21" s="24">
        <v>42808</v>
      </c>
      <c r="B21" s="22">
        <v>64.529999000000004</v>
      </c>
      <c r="C21" s="22">
        <v>64.550003000000004</v>
      </c>
      <c r="D21" s="22">
        <v>64.150002000000001</v>
      </c>
      <c r="E21" s="22">
        <v>64.410004000000001</v>
      </c>
      <c r="F21" s="22">
        <v>14263700</v>
      </c>
      <c r="G21" s="22">
        <v>64.410004000000001</v>
      </c>
      <c r="H21" s="22">
        <f t="shared" si="0"/>
        <v>-4.635991417647767E-3</v>
      </c>
    </row>
    <row r="22" spans="1:20" x14ac:dyDescent="0.25">
      <c r="A22" s="24">
        <v>42807</v>
      </c>
      <c r="B22" s="22">
        <v>65.010002</v>
      </c>
      <c r="C22" s="22">
        <v>65.190002000000007</v>
      </c>
      <c r="D22" s="22">
        <v>64.569999999999993</v>
      </c>
      <c r="E22" s="22">
        <v>64.709998999999996</v>
      </c>
      <c r="F22" s="22">
        <v>19551800</v>
      </c>
      <c r="G22" s="22">
        <v>64.709998999999996</v>
      </c>
      <c r="H22" s="22">
        <f t="shared" si="0"/>
        <v>-3.3882796858156557E-3</v>
      </c>
    </row>
    <row r="23" spans="1:20" x14ac:dyDescent="0.25">
      <c r="A23" s="24">
        <v>42804</v>
      </c>
      <c r="B23" s="22">
        <v>65.110000999999997</v>
      </c>
      <c r="C23" s="22">
        <v>65.260002</v>
      </c>
      <c r="D23" s="22">
        <v>64.75</v>
      </c>
      <c r="E23" s="22">
        <v>64.930000000000007</v>
      </c>
      <c r="F23" s="22">
        <v>19528300</v>
      </c>
      <c r="G23" s="22">
        <v>64.930000000000007</v>
      </c>
      <c r="H23" s="22">
        <f t="shared" si="0"/>
        <v>3.0897109644813462E-3</v>
      </c>
    </row>
    <row r="24" spans="1:20" x14ac:dyDescent="0.25">
      <c r="A24" s="24">
        <v>42803</v>
      </c>
      <c r="B24" s="22">
        <v>65.190002000000007</v>
      </c>
      <c r="C24" s="22">
        <v>65.199996999999996</v>
      </c>
      <c r="D24" s="22">
        <v>64.480002999999996</v>
      </c>
      <c r="E24" s="22">
        <v>64.730002999999996</v>
      </c>
      <c r="F24" s="22">
        <v>19772700</v>
      </c>
      <c r="G24" s="22">
        <v>64.730002999999996</v>
      </c>
      <c r="H24" s="22">
        <f t="shared" si="0"/>
        <v>-4.0005386675039372E-3</v>
      </c>
      <c r="J24" s="63" t="s">
        <v>27</v>
      </c>
      <c r="K24" s="64"/>
      <c r="L24" s="64"/>
      <c r="M24" s="64"/>
      <c r="N24" s="64"/>
      <c r="O24" s="64"/>
      <c r="P24" s="65"/>
    </row>
    <row r="25" spans="1:20" x14ac:dyDescent="0.25">
      <c r="A25" s="24">
        <v>42802</v>
      </c>
      <c r="B25" s="22">
        <v>64.260002</v>
      </c>
      <c r="C25" s="22">
        <v>65.080001999999993</v>
      </c>
      <c r="D25" s="22">
        <v>64.25</v>
      </c>
      <c r="E25" s="22">
        <v>64.989998</v>
      </c>
      <c r="F25" s="22">
        <v>20961700</v>
      </c>
      <c r="G25" s="22">
        <v>64.989998</v>
      </c>
      <c r="H25" s="22">
        <f t="shared" si="0"/>
        <v>9.1614282869121547E-3</v>
      </c>
    </row>
    <row r="26" spans="1:20" x14ac:dyDescent="0.25">
      <c r="A26" s="24">
        <v>42801</v>
      </c>
      <c r="B26" s="22">
        <v>64.190002000000007</v>
      </c>
      <c r="C26" s="22">
        <v>64.779999000000004</v>
      </c>
      <c r="D26" s="22">
        <v>64.190002000000007</v>
      </c>
      <c r="E26" s="22">
        <v>64.400002000000001</v>
      </c>
      <c r="F26" s="22">
        <v>18300700</v>
      </c>
      <c r="G26" s="22">
        <v>64.400002000000001</v>
      </c>
      <c r="H26" s="22">
        <f t="shared" si="0"/>
        <v>2.0227945552883258E-3</v>
      </c>
    </row>
    <row r="27" spans="1:20" x14ac:dyDescent="0.25">
      <c r="A27" s="24">
        <v>42800</v>
      </c>
      <c r="B27" s="22">
        <v>63.970001000000003</v>
      </c>
      <c r="C27" s="22">
        <v>64.559997999999993</v>
      </c>
      <c r="D27" s="22">
        <v>63.810001</v>
      </c>
      <c r="E27" s="22">
        <v>64.269997000000004</v>
      </c>
      <c r="F27" s="22">
        <v>17487700</v>
      </c>
      <c r="G27" s="22">
        <v>64.269997000000004</v>
      </c>
      <c r="H27" s="22">
        <f t="shared" si="0"/>
        <v>3.1123735408565908E-4</v>
      </c>
    </row>
    <row r="28" spans="1:20" x14ac:dyDescent="0.25">
      <c r="A28" s="24">
        <v>42797</v>
      </c>
      <c r="B28" s="22">
        <v>63.990001999999997</v>
      </c>
      <c r="C28" s="22">
        <v>64.279999000000004</v>
      </c>
      <c r="D28" s="22">
        <v>63.619999</v>
      </c>
      <c r="E28" s="22">
        <v>64.25</v>
      </c>
      <c r="F28" s="22">
        <v>18135900</v>
      </c>
      <c r="G28" s="22">
        <v>64.25</v>
      </c>
      <c r="H28" s="22">
        <f t="shared" si="0"/>
        <v>3.7493827917705726E-3</v>
      </c>
    </row>
    <row r="29" spans="1:20" x14ac:dyDescent="0.25">
      <c r="A29" s="24">
        <v>42796</v>
      </c>
      <c r="B29" s="22">
        <v>64.690002000000007</v>
      </c>
      <c r="C29" s="22">
        <v>64.75</v>
      </c>
      <c r="D29" s="22">
        <v>63.880001</v>
      </c>
      <c r="E29" s="22">
        <v>64.010002</v>
      </c>
      <c r="F29" s="22">
        <v>24510900</v>
      </c>
      <c r="G29" s="22">
        <v>64.010002</v>
      </c>
      <c r="H29" s="22">
        <f t="shared" si="0"/>
        <v>-1.4320911169667145E-2</v>
      </c>
    </row>
    <row r="30" spans="1:20" x14ac:dyDescent="0.25">
      <c r="A30" s="24">
        <v>42795</v>
      </c>
      <c r="B30" s="22">
        <v>64.129997000000003</v>
      </c>
      <c r="C30" s="22">
        <v>64.989998</v>
      </c>
      <c r="D30" s="22">
        <v>64.019997000000004</v>
      </c>
      <c r="E30" s="22">
        <v>64.940002000000007</v>
      </c>
      <c r="F30" s="22">
        <v>26763800</v>
      </c>
      <c r="G30" s="22">
        <v>64.940002000000007</v>
      </c>
      <c r="H30" s="22">
        <f t="shared" si="0"/>
        <v>1.5004720225070491E-2</v>
      </c>
    </row>
    <row r="31" spans="1:20" x14ac:dyDescent="0.25">
      <c r="A31" s="24">
        <v>42794</v>
      </c>
      <c r="B31" s="22">
        <v>64.080001999999993</v>
      </c>
      <c r="C31" s="22">
        <v>64.199996999999996</v>
      </c>
      <c r="D31" s="22">
        <v>63.759998000000003</v>
      </c>
      <c r="E31" s="22">
        <v>63.98</v>
      </c>
      <c r="F31" s="22">
        <v>23043900</v>
      </c>
      <c r="G31" s="22">
        <v>63.98</v>
      </c>
      <c r="H31" s="22">
        <f t="shared" si="0"/>
        <v>-3.8923087081281864E-3</v>
      </c>
      <c r="J31" s="58" t="s">
        <v>28</v>
      </c>
      <c r="K31" s="61"/>
      <c r="L31" s="61"/>
      <c r="M31" s="61"/>
      <c r="N31" s="61"/>
      <c r="O31" s="61"/>
      <c r="P31" s="61"/>
      <c r="Q31" s="61"/>
      <c r="R31" s="61"/>
      <c r="S31" s="61"/>
      <c r="T31" s="61"/>
    </row>
    <row r="32" spans="1:20" x14ac:dyDescent="0.25">
      <c r="A32" s="24">
        <v>42793</v>
      </c>
      <c r="B32" s="22">
        <v>64.540001000000004</v>
      </c>
      <c r="C32" s="22">
        <v>64.540001000000004</v>
      </c>
      <c r="D32" s="22">
        <v>64.050003000000004</v>
      </c>
      <c r="E32" s="22">
        <v>64.230002999999996</v>
      </c>
      <c r="F32" s="22">
        <v>15850400</v>
      </c>
      <c r="G32" s="22">
        <v>64.230002999999996</v>
      </c>
      <c r="H32" s="22">
        <f t="shared" si="0"/>
        <v>-6.0352829138680258E-3</v>
      </c>
      <c r="J32" s="68" t="s">
        <v>79</v>
      </c>
      <c r="K32" s="68"/>
      <c r="L32" s="68"/>
      <c r="M32" s="68">
        <f>STDEV(H6:H258)*SQRT(252)</f>
        <v>0.18279179561949035</v>
      </c>
      <c r="N32" s="68"/>
      <c r="O32" s="68"/>
      <c r="P32" s="68"/>
      <c r="Q32" s="68"/>
      <c r="R32" s="68"/>
      <c r="S32" s="68"/>
      <c r="T32" s="68"/>
    </row>
    <row r="33" spans="1:20" x14ac:dyDescent="0.25">
      <c r="A33" s="24">
        <v>42790</v>
      </c>
      <c r="B33" s="22">
        <v>64.529999000000004</v>
      </c>
      <c r="C33" s="22">
        <v>64.800003000000004</v>
      </c>
      <c r="D33" s="22">
        <v>64.139999000000003</v>
      </c>
      <c r="E33" s="22">
        <v>64.620002999999997</v>
      </c>
      <c r="F33" s="22">
        <v>21705200</v>
      </c>
      <c r="G33" s="22">
        <v>64.620002999999997</v>
      </c>
      <c r="H33" s="22">
        <f t="shared" si="0"/>
        <v>0</v>
      </c>
      <c r="J33" s="69"/>
      <c r="K33" s="69"/>
      <c r="L33" s="69"/>
      <c r="M33" s="69"/>
      <c r="N33" s="69"/>
      <c r="O33" s="69"/>
      <c r="P33" s="69"/>
      <c r="Q33" s="69"/>
      <c r="R33" s="69"/>
      <c r="S33" s="69"/>
      <c r="T33" s="69"/>
    </row>
    <row r="34" spans="1:20" x14ac:dyDescent="0.25">
      <c r="A34" s="24">
        <v>42789</v>
      </c>
      <c r="B34" s="22">
        <v>64.419998000000007</v>
      </c>
      <c r="C34" s="22">
        <v>64.730002999999996</v>
      </c>
      <c r="D34" s="22">
        <v>64.190002000000007</v>
      </c>
      <c r="E34" s="22">
        <v>64.620002999999997</v>
      </c>
      <c r="F34" s="22">
        <v>20235200</v>
      </c>
      <c r="G34" s="22">
        <v>64.620002999999997</v>
      </c>
      <c r="H34" s="22">
        <f t="shared" si="0"/>
        <v>4.0398072709787571E-3</v>
      </c>
      <c r="J34" s="58" t="s">
        <v>66</v>
      </c>
      <c r="K34" s="61"/>
      <c r="L34" s="61"/>
      <c r="M34" s="61"/>
      <c r="N34" s="61"/>
      <c r="O34" s="61"/>
      <c r="P34" s="61"/>
      <c r="Q34" s="61"/>
      <c r="R34" s="61"/>
      <c r="S34" s="61"/>
      <c r="T34" s="61"/>
    </row>
    <row r="35" spans="1:20" x14ac:dyDescent="0.25">
      <c r="A35" s="24">
        <v>42788</v>
      </c>
      <c r="B35" s="22">
        <v>64.330001999999993</v>
      </c>
      <c r="C35" s="22">
        <v>64.389999000000003</v>
      </c>
      <c r="D35" s="22">
        <v>64.050003000000004</v>
      </c>
      <c r="E35" s="22">
        <v>64.360000999999997</v>
      </c>
      <c r="F35" s="22">
        <v>19259700</v>
      </c>
      <c r="G35" s="22">
        <v>64.360000999999997</v>
      </c>
      <c r="H35" s="22">
        <f t="shared" si="0"/>
        <v>-2.0157699493183892E-3</v>
      </c>
    </row>
    <row r="36" spans="1:20" x14ac:dyDescent="0.25">
      <c r="A36" s="24">
        <v>42787</v>
      </c>
      <c r="B36" s="22">
        <v>64.610000999999997</v>
      </c>
      <c r="C36" s="22">
        <v>64.949996999999996</v>
      </c>
      <c r="D36" s="22">
        <v>64.449996999999996</v>
      </c>
      <c r="E36" s="22">
        <v>64.489998</v>
      </c>
      <c r="F36" s="22">
        <v>19384900</v>
      </c>
      <c r="G36" s="22">
        <v>64.489998</v>
      </c>
      <c r="H36" s="22">
        <f t="shared" si="0"/>
        <v>-2.0118383467112658E-3</v>
      </c>
    </row>
    <row r="37" spans="1:20" x14ac:dyDescent="0.25">
      <c r="A37" s="24">
        <v>42783</v>
      </c>
      <c r="B37" s="22">
        <v>64.470000999999996</v>
      </c>
      <c r="C37" s="22">
        <v>64.690002000000007</v>
      </c>
      <c r="D37" s="22">
        <v>64.300003000000004</v>
      </c>
      <c r="E37" s="22">
        <v>64.620002999999997</v>
      </c>
      <c r="F37" s="22">
        <v>21234600</v>
      </c>
      <c r="G37" s="22">
        <v>64.620002999999997</v>
      </c>
      <c r="H37" s="22">
        <f t="shared" si="0"/>
        <v>1.5500000720705764E-3</v>
      </c>
    </row>
    <row r="38" spans="1:20" x14ac:dyDescent="0.25">
      <c r="A38" s="24">
        <v>42782</v>
      </c>
      <c r="B38" s="22">
        <v>64.739998</v>
      </c>
      <c r="C38" s="22">
        <v>65.239998</v>
      </c>
      <c r="D38" s="22">
        <v>64.440002000000007</v>
      </c>
      <c r="E38" s="22">
        <v>64.519997000000004</v>
      </c>
      <c r="F38" s="22">
        <v>20524700</v>
      </c>
      <c r="G38" s="22">
        <v>64.519997000000004</v>
      </c>
      <c r="H38" s="22">
        <f t="shared" si="0"/>
        <v>-1.5499767790171616E-4</v>
      </c>
    </row>
    <row r="39" spans="1:20" x14ac:dyDescent="0.25">
      <c r="A39" s="24">
        <v>42781</v>
      </c>
      <c r="B39" s="22">
        <v>64.5</v>
      </c>
      <c r="C39" s="22">
        <v>64.569999999999993</v>
      </c>
      <c r="D39" s="22">
        <v>64.160004000000001</v>
      </c>
      <c r="E39" s="22">
        <v>64.529999000000004</v>
      </c>
      <c r="F39" s="22">
        <v>16917000</v>
      </c>
      <c r="G39" s="22">
        <v>64.529999000000004</v>
      </c>
      <c r="H39" s="22">
        <f t="shared" si="0"/>
        <v>-6.194982189869834E-4</v>
      </c>
    </row>
    <row r="40" spans="1:20" x14ac:dyDescent="0.25">
      <c r="A40" s="24">
        <v>42780</v>
      </c>
      <c r="B40" s="22">
        <v>64.410004000000001</v>
      </c>
      <c r="C40" s="22">
        <v>64.720000999999996</v>
      </c>
      <c r="D40" s="22">
        <v>64.019997000000004</v>
      </c>
      <c r="E40" s="22">
        <v>64.569999999999993</v>
      </c>
      <c r="F40" s="22">
        <v>23065900</v>
      </c>
      <c r="G40" s="22">
        <v>64.569999999999993</v>
      </c>
      <c r="H40" s="22">
        <f t="shared" si="0"/>
        <v>3.7307632519818887E-3</v>
      </c>
    </row>
    <row r="41" spans="1:20" x14ac:dyDescent="0.25">
      <c r="A41" s="24">
        <v>42779</v>
      </c>
      <c r="B41" s="22">
        <v>64.239998</v>
      </c>
      <c r="C41" s="22">
        <v>64.860000999999997</v>
      </c>
      <c r="D41" s="22">
        <v>64.129997000000003</v>
      </c>
      <c r="E41" s="22">
        <v>64.720000999999996</v>
      </c>
      <c r="F41" s="22">
        <v>22920100</v>
      </c>
      <c r="G41" s="22">
        <v>64.33</v>
      </c>
      <c r="H41" s="22">
        <f t="shared" si="0"/>
        <v>1.1250010964509319E-2</v>
      </c>
    </row>
    <row r="42" spans="1:20" x14ac:dyDescent="0.25">
      <c r="A42" s="24">
        <v>42776</v>
      </c>
      <c r="B42" s="22">
        <v>64.25</v>
      </c>
      <c r="C42" s="22">
        <v>64.300003000000004</v>
      </c>
      <c r="D42" s="22">
        <v>63.98</v>
      </c>
      <c r="E42" s="22">
        <v>64</v>
      </c>
      <c r="F42" s="22">
        <v>18170700</v>
      </c>
      <c r="G42" s="22">
        <v>63.614337999999996</v>
      </c>
      <c r="H42" s="22">
        <f t="shared" si="0"/>
        <v>-9.3658360321604369E-4</v>
      </c>
    </row>
    <row r="43" spans="1:20" x14ac:dyDescent="0.25">
      <c r="A43" s="24">
        <v>42775</v>
      </c>
      <c r="B43" s="22">
        <v>63.52</v>
      </c>
      <c r="C43" s="22">
        <v>64.440002000000007</v>
      </c>
      <c r="D43" s="22">
        <v>63.32</v>
      </c>
      <c r="E43" s="22">
        <v>64.059997999999993</v>
      </c>
      <c r="F43" s="22">
        <v>22644400</v>
      </c>
      <c r="G43" s="22">
        <v>63.673974000000001</v>
      </c>
      <c r="H43" s="22">
        <f t="shared" si="0"/>
        <v>1.1367187956030943E-2</v>
      </c>
    </row>
    <row r="44" spans="1:20" x14ac:dyDescent="0.25">
      <c r="A44" s="24">
        <v>42774</v>
      </c>
      <c r="B44" s="22">
        <v>63.57</v>
      </c>
      <c r="C44" s="22">
        <v>63.810001</v>
      </c>
      <c r="D44" s="22">
        <v>63.220001000000003</v>
      </c>
      <c r="E44" s="22">
        <v>63.34</v>
      </c>
      <c r="F44" s="22">
        <v>18096400</v>
      </c>
      <c r="G44" s="22">
        <v>62.958314999999999</v>
      </c>
      <c r="H44" s="22">
        <f t="shared" si="0"/>
        <v>-1.4188923056806539E-3</v>
      </c>
      <c r="J44" s="59" t="s">
        <v>64</v>
      </c>
      <c r="K44" s="60"/>
      <c r="M44" s="59" t="s">
        <v>65</v>
      </c>
      <c r="N44" s="60"/>
    </row>
    <row r="45" spans="1:20" x14ac:dyDescent="0.25">
      <c r="A45" s="24">
        <v>42773</v>
      </c>
      <c r="B45" s="22">
        <v>63.740001999999997</v>
      </c>
      <c r="C45" s="22">
        <v>63.779998999999997</v>
      </c>
      <c r="D45" s="22">
        <v>63.23</v>
      </c>
      <c r="E45" s="22">
        <v>63.43</v>
      </c>
      <c r="F45" s="22">
        <v>20277200</v>
      </c>
      <c r="G45" s="22">
        <v>63.047772999999999</v>
      </c>
      <c r="H45" s="22">
        <f t="shared" si="0"/>
        <v>-3.2998028171236163E-3</v>
      </c>
      <c r="J45" s="23" t="s">
        <v>33</v>
      </c>
      <c r="K45" s="23" t="s">
        <v>34</v>
      </c>
      <c r="M45" s="23" t="s">
        <v>33</v>
      </c>
      <c r="N45" s="23" t="s">
        <v>34</v>
      </c>
    </row>
    <row r="46" spans="1:20" x14ac:dyDescent="0.25">
      <c r="A46" s="24">
        <v>42772</v>
      </c>
      <c r="B46" s="22">
        <v>63.5</v>
      </c>
      <c r="C46" s="22">
        <v>63.650002000000001</v>
      </c>
      <c r="D46" s="22">
        <v>63.139999000000003</v>
      </c>
      <c r="E46" s="22">
        <v>63.639999000000003</v>
      </c>
      <c r="F46" s="22">
        <v>19796400</v>
      </c>
      <c r="G46" s="22">
        <v>63.256506999999999</v>
      </c>
      <c r="H46" s="22">
        <f t="shared" si="0"/>
        <v>-6.2815710759058082E-4</v>
      </c>
      <c r="J46" s="35">
        <f>'The Black-Scholes model'!L34</f>
        <v>4.8171167553053209</v>
      </c>
      <c r="K46" s="35">
        <f>'The Black-Scholes model'!M34</f>
        <v>4.7514196063545668</v>
      </c>
      <c r="M46" s="35">
        <f>'Binomial Model'!F40</f>
        <v>5.0593958569133219</v>
      </c>
      <c r="N46" s="35">
        <f>'Binomial Model'!F47</f>
        <v>4.993698707962535</v>
      </c>
    </row>
    <row r="47" spans="1:20" x14ac:dyDescent="0.25">
      <c r="A47" s="24">
        <v>42769</v>
      </c>
      <c r="B47" s="22">
        <v>63.5</v>
      </c>
      <c r="C47" s="22">
        <v>63.700001</v>
      </c>
      <c r="D47" s="22">
        <v>63.07</v>
      </c>
      <c r="E47" s="22">
        <v>63.68</v>
      </c>
      <c r="F47" s="22">
        <v>30301800</v>
      </c>
      <c r="G47" s="22">
        <v>63.296267</v>
      </c>
      <c r="H47" s="22">
        <f t="shared" si="0"/>
        <v>8.0734885276223089E-3</v>
      </c>
    </row>
    <row r="48" spans="1:20" x14ac:dyDescent="0.25">
      <c r="A48" s="24">
        <v>42768</v>
      </c>
      <c r="B48" s="22">
        <v>63.25</v>
      </c>
      <c r="C48" s="22">
        <v>63.41</v>
      </c>
      <c r="D48" s="22">
        <v>62.75</v>
      </c>
      <c r="E48" s="22">
        <v>63.169998</v>
      </c>
      <c r="F48" s="22">
        <v>45827000</v>
      </c>
      <c r="G48" s="22">
        <v>62.789338000000001</v>
      </c>
      <c r="H48" s="22">
        <f t="shared" si="0"/>
        <v>-6.4486262302448612E-3</v>
      </c>
    </row>
    <row r="49" spans="1:8" x14ac:dyDescent="0.25">
      <c r="A49" s="24">
        <v>42767</v>
      </c>
      <c r="B49" s="22">
        <v>64.360000999999997</v>
      </c>
      <c r="C49" s="22">
        <v>64.620002999999997</v>
      </c>
      <c r="D49" s="22">
        <v>63.470001000000003</v>
      </c>
      <c r="E49" s="22">
        <v>63.580002</v>
      </c>
      <c r="F49" s="22">
        <v>39671500</v>
      </c>
      <c r="G49" s="22">
        <v>63.196871000000002</v>
      </c>
      <c r="H49" s="22">
        <f t="shared" si="0"/>
        <v>-1.6550653580353826E-2</v>
      </c>
    </row>
    <row r="50" spans="1:8" x14ac:dyDescent="0.25">
      <c r="A50" s="24">
        <v>42766</v>
      </c>
      <c r="B50" s="22">
        <v>64.860000999999997</v>
      </c>
      <c r="C50" s="22">
        <v>65.150002000000001</v>
      </c>
      <c r="D50" s="22">
        <v>64.260002</v>
      </c>
      <c r="E50" s="22">
        <v>64.650002000000001</v>
      </c>
      <c r="F50" s="22">
        <v>25270500</v>
      </c>
      <c r="G50" s="22">
        <v>64.260423000000003</v>
      </c>
      <c r="H50" s="22">
        <f t="shared" si="0"/>
        <v>-7.3698058835303592E-3</v>
      </c>
    </row>
    <row r="51" spans="1:8" x14ac:dyDescent="0.25">
      <c r="A51" s="24">
        <v>42765</v>
      </c>
      <c r="B51" s="22">
        <v>65.690002000000007</v>
      </c>
      <c r="C51" s="22">
        <v>65.790001000000004</v>
      </c>
      <c r="D51" s="22">
        <v>64.800003000000004</v>
      </c>
      <c r="E51" s="22">
        <v>65.129997000000003</v>
      </c>
      <c r="F51" s="22">
        <v>31651400</v>
      </c>
      <c r="G51" s="22">
        <v>64.737526000000003</v>
      </c>
      <c r="H51" s="22">
        <f t="shared" si="0"/>
        <v>-9.8814366475023611E-3</v>
      </c>
    </row>
    <row r="52" spans="1:8" x14ac:dyDescent="0.25">
      <c r="A52" s="24">
        <v>42762</v>
      </c>
      <c r="B52" s="22">
        <v>65.389999000000003</v>
      </c>
      <c r="C52" s="22">
        <v>65.910004000000001</v>
      </c>
      <c r="D52" s="22">
        <v>64.889999000000003</v>
      </c>
      <c r="E52" s="22">
        <v>65.779999000000004</v>
      </c>
      <c r="F52" s="22">
        <v>44818000</v>
      </c>
      <c r="G52" s="22">
        <v>65.383610000000004</v>
      </c>
      <c r="H52" s="22">
        <f t="shared" si="0"/>
        <v>2.3494652105230159E-2</v>
      </c>
    </row>
    <row r="53" spans="1:8" x14ac:dyDescent="0.25">
      <c r="A53" s="24">
        <v>42761</v>
      </c>
      <c r="B53" s="22">
        <v>64.120002999999997</v>
      </c>
      <c r="C53" s="22">
        <v>64.540001000000004</v>
      </c>
      <c r="D53" s="22">
        <v>63.549999</v>
      </c>
      <c r="E53" s="22">
        <v>64.269997000000004</v>
      </c>
      <c r="F53" s="22">
        <v>43554600</v>
      </c>
      <c r="G53" s="22">
        <v>63.882708000000001</v>
      </c>
      <c r="H53" s="22">
        <f t="shared" si="0"/>
        <v>9.2650171612806281E-3</v>
      </c>
    </row>
    <row r="54" spans="1:8" x14ac:dyDescent="0.25">
      <c r="A54" s="24">
        <v>42760</v>
      </c>
      <c r="B54" s="22">
        <v>63.950001</v>
      </c>
      <c r="C54" s="22">
        <v>64.099997999999999</v>
      </c>
      <c r="D54" s="22">
        <v>63.450001</v>
      </c>
      <c r="E54" s="22">
        <v>63.68</v>
      </c>
      <c r="F54" s="22">
        <v>23672700</v>
      </c>
      <c r="G54" s="22">
        <v>63.296267</v>
      </c>
      <c r="H54" s="22">
        <f t="shared" si="0"/>
        <v>2.5188941212832155E-3</v>
      </c>
    </row>
    <row r="55" spans="1:8" x14ac:dyDescent="0.25">
      <c r="A55" s="24">
        <v>42759</v>
      </c>
      <c r="B55" s="22">
        <v>63.200001</v>
      </c>
      <c r="C55" s="22">
        <v>63.740001999999997</v>
      </c>
      <c r="D55" s="22">
        <v>62.939999</v>
      </c>
      <c r="E55" s="22">
        <v>63.52</v>
      </c>
      <c r="F55" s="22">
        <v>24672900</v>
      </c>
      <c r="G55" s="22">
        <v>63.137231</v>
      </c>
      <c r="H55" s="22">
        <f t="shared" si="0"/>
        <v>8.8945610048761885E-3</v>
      </c>
    </row>
    <row r="56" spans="1:8" x14ac:dyDescent="0.25">
      <c r="A56" s="24">
        <v>42758</v>
      </c>
      <c r="B56" s="22">
        <v>62.700001</v>
      </c>
      <c r="C56" s="22">
        <v>63.119999</v>
      </c>
      <c r="D56" s="22">
        <v>62.57</v>
      </c>
      <c r="E56" s="22">
        <v>62.959999000000003</v>
      </c>
      <c r="F56" s="22">
        <v>23097600</v>
      </c>
      <c r="G56" s="22">
        <v>62.580604000000001</v>
      </c>
      <c r="H56" s="22">
        <f t="shared" si="0"/>
        <v>3.5064981630139034E-3</v>
      </c>
    </row>
    <row r="57" spans="1:8" x14ac:dyDescent="0.25">
      <c r="A57" s="24">
        <v>42755</v>
      </c>
      <c r="B57" s="22">
        <v>62.669998</v>
      </c>
      <c r="C57" s="22">
        <v>62.82</v>
      </c>
      <c r="D57" s="22">
        <v>62.369999</v>
      </c>
      <c r="E57" s="22">
        <v>62.740001999999997</v>
      </c>
      <c r="F57" s="22">
        <v>30213500</v>
      </c>
      <c r="G57" s="22">
        <v>62.361932000000003</v>
      </c>
      <c r="H57" s="22">
        <f t="shared" si="0"/>
        <v>7.0626396325556015E-3</v>
      </c>
    </row>
    <row r="58" spans="1:8" x14ac:dyDescent="0.25">
      <c r="A58" s="24">
        <v>42754</v>
      </c>
      <c r="B58" s="22">
        <v>62.240001999999997</v>
      </c>
      <c r="C58" s="22">
        <v>62.98</v>
      </c>
      <c r="D58" s="22">
        <v>62.200001</v>
      </c>
      <c r="E58" s="22">
        <v>62.299999</v>
      </c>
      <c r="F58" s="22">
        <v>18451700</v>
      </c>
      <c r="G58" s="22">
        <v>61.924581000000003</v>
      </c>
      <c r="H58" s="22">
        <f t="shared" si="0"/>
        <v>-3.2000192133791188E-3</v>
      </c>
    </row>
    <row r="59" spans="1:8" x14ac:dyDescent="0.25">
      <c r="A59" s="24">
        <v>42753</v>
      </c>
      <c r="B59" s="22">
        <v>62.669998</v>
      </c>
      <c r="C59" s="22">
        <v>62.700001</v>
      </c>
      <c r="D59" s="22">
        <v>62.119999</v>
      </c>
      <c r="E59" s="22">
        <v>62.5</v>
      </c>
      <c r="F59" s="22">
        <v>19670100</v>
      </c>
      <c r="G59" s="22">
        <v>62.123376999999998</v>
      </c>
      <c r="H59" s="22">
        <f t="shared" si="0"/>
        <v>-4.7975007559947306E-4</v>
      </c>
    </row>
    <row r="60" spans="1:8" x14ac:dyDescent="0.25">
      <c r="A60" s="24">
        <v>42752</v>
      </c>
      <c r="B60" s="22">
        <v>62.68</v>
      </c>
      <c r="C60" s="22">
        <v>62.700001</v>
      </c>
      <c r="D60" s="22">
        <v>62.029998999999997</v>
      </c>
      <c r="E60" s="22">
        <v>62.529998999999997</v>
      </c>
      <c r="F60" s="22">
        <v>20664000</v>
      </c>
      <c r="G60" s="22">
        <v>62.153194999999997</v>
      </c>
      <c r="H60" s="22">
        <f t="shared" si="0"/>
        <v>-2.711346453072997E-3</v>
      </c>
    </row>
    <row r="61" spans="1:8" x14ac:dyDescent="0.25">
      <c r="A61" s="24">
        <v>42748</v>
      </c>
      <c r="B61" s="22">
        <v>62.619999</v>
      </c>
      <c r="C61" s="22">
        <v>62.869999</v>
      </c>
      <c r="D61" s="22">
        <v>62.349997999999999</v>
      </c>
      <c r="E61" s="22">
        <v>62.700001</v>
      </c>
      <c r="F61" s="22">
        <v>19422300</v>
      </c>
      <c r="G61" s="22">
        <v>62.322172000000002</v>
      </c>
      <c r="H61" s="22">
        <f t="shared" si="0"/>
        <v>1.4374593812917049E-3</v>
      </c>
    </row>
    <row r="62" spans="1:8" x14ac:dyDescent="0.25">
      <c r="A62" s="24">
        <v>42747</v>
      </c>
      <c r="B62" s="22">
        <v>63.060001</v>
      </c>
      <c r="C62" s="22">
        <v>63.400002000000001</v>
      </c>
      <c r="D62" s="22">
        <v>61.950001</v>
      </c>
      <c r="E62" s="22">
        <v>62.610000999999997</v>
      </c>
      <c r="F62" s="22">
        <v>20968200</v>
      </c>
      <c r="G62" s="22">
        <v>62.232714999999999</v>
      </c>
      <c r="H62" s="22">
        <f t="shared" si="0"/>
        <v>-9.1786368045531537E-3</v>
      </c>
    </row>
    <row r="63" spans="1:8" x14ac:dyDescent="0.25">
      <c r="A63" s="24">
        <v>42746</v>
      </c>
      <c r="B63" s="22">
        <v>62.610000999999997</v>
      </c>
      <c r="C63" s="22">
        <v>63.23</v>
      </c>
      <c r="D63" s="22">
        <v>62.43</v>
      </c>
      <c r="E63" s="22">
        <v>63.189999</v>
      </c>
      <c r="F63" s="22">
        <v>21517300</v>
      </c>
      <c r="G63" s="22">
        <v>62.809218000000001</v>
      </c>
      <c r="H63" s="22">
        <f t="shared" si="0"/>
        <v>9.1025200998422137E-3</v>
      </c>
    </row>
    <row r="64" spans="1:8" x14ac:dyDescent="0.25">
      <c r="A64" s="24">
        <v>42745</v>
      </c>
      <c r="B64" s="22">
        <v>62.73</v>
      </c>
      <c r="C64" s="22">
        <v>63.07</v>
      </c>
      <c r="D64" s="22">
        <v>62.279998999999997</v>
      </c>
      <c r="E64" s="22">
        <v>62.619999</v>
      </c>
      <c r="F64" s="22">
        <v>18593000</v>
      </c>
      <c r="G64" s="22">
        <v>62.242652999999997</v>
      </c>
      <c r="H64" s="22">
        <f t="shared" si="0"/>
        <v>-3.1929314536561761E-4</v>
      </c>
    </row>
    <row r="65" spans="1:8" x14ac:dyDescent="0.25">
      <c r="A65" s="24">
        <v>42744</v>
      </c>
      <c r="B65" s="22">
        <v>62.759998000000003</v>
      </c>
      <c r="C65" s="22">
        <v>63.080002</v>
      </c>
      <c r="D65" s="22">
        <v>62.540000999999997</v>
      </c>
      <c r="E65" s="22">
        <v>62.639999000000003</v>
      </c>
      <c r="F65" s="22">
        <v>20256600</v>
      </c>
      <c r="G65" s="22">
        <v>62.262532999999998</v>
      </c>
      <c r="H65" s="22">
        <f t="shared" si="0"/>
        <v>-3.1826892953669516E-3</v>
      </c>
    </row>
    <row r="66" spans="1:8" x14ac:dyDescent="0.25">
      <c r="A66" s="24">
        <v>42741</v>
      </c>
      <c r="B66" s="22">
        <v>62.299999</v>
      </c>
      <c r="C66" s="22">
        <v>63.150002000000001</v>
      </c>
      <c r="D66" s="22">
        <v>62.040000999999997</v>
      </c>
      <c r="E66" s="22">
        <v>62.84</v>
      </c>
      <c r="F66" s="22">
        <v>19922900</v>
      </c>
      <c r="G66" s="22">
        <v>62.461328000000002</v>
      </c>
      <c r="H66" s="22">
        <f t="shared" si="0"/>
        <v>8.6677534402695156E-3</v>
      </c>
    </row>
    <row r="67" spans="1:8" x14ac:dyDescent="0.25">
      <c r="A67" s="24">
        <v>42740</v>
      </c>
      <c r="B67" s="22">
        <v>62.189999</v>
      </c>
      <c r="C67" s="22">
        <v>62.66</v>
      </c>
      <c r="D67" s="22">
        <v>62.029998999999997</v>
      </c>
      <c r="E67" s="22">
        <v>62.299999</v>
      </c>
      <c r="F67" s="22">
        <v>24876000</v>
      </c>
      <c r="G67" s="22">
        <v>61.924581000000003</v>
      </c>
      <c r="H67" s="22">
        <f t="shared" si="0"/>
        <v>0</v>
      </c>
    </row>
    <row r="68" spans="1:8" x14ac:dyDescent="0.25">
      <c r="A68" s="24">
        <v>42739</v>
      </c>
      <c r="B68" s="22">
        <v>62.48</v>
      </c>
      <c r="C68" s="22">
        <v>62.75</v>
      </c>
      <c r="D68" s="22">
        <v>62.119999</v>
      </c>
      <c r="E68" s="22">
        <v>62.299999</v>
      </c>
      <c r="F68" s="22">
        <v>21340000</v>
      </c>
      <c r="G68" s="22">
        <v>61.924581000000003</v>
      </c>
      <c r="H68" s="22">
        <f t="shared" si="0"/>
        <v>-4.47432536783611E-3</v>
      </c>
    </row>
    <row r="69" spans="1:8" x14ac:dyDescent="0.25">
      <c r="A69" s="24">
        <v>42738</v>
      </c>
      <c r="B69" s="22">
        <v>62.790000999999997</v>
      </c>
      <c r="C69" s="22">
        <v>62.84</v>
      </c>
      <c r="D69" s="22">
        <v>62.130001</v>
      </c>
      <c r="E69" s="22">
        <v>62.580002</v>
      </c>
      <c r="F69" s="22">
        <v>20694100</v>
      </c>
      <c r="G69" s="22">
        <v>62.202897</v>
      </c>
      <c r="H69" s="22">
        <f t="shared" si="0"/>
        <v>7.0808246396785613E-3</v>
      </c>
    </row>
    <row r="70" spans="1:8" x14ac:dyDescent="0.25">
      <c r="A70" s="24">
        <v>42734</v>
      </c>
      <c r="B70" s="22">
        <v>62.959999000000003</v>
      </c>
      <c r="C70" s="22">
        <v>62.990001999999997</v>
      </c>
      <c r="D70" s="22">
        <v>62.029998999999997</v>
      </c>
      <c r="E70" s="22">
        <v>62.139999000000003</v>
      </c>
      <c r="F70" s="22">
        <v>25579900</v>
      </c>
      <c r="G70" s="22">
        <v>61.765546000000001</v>
      </c>
      <c r="H70" s="22">
        <f t="shared" ref="H70:H133" si="1">(G70-G71)/G71</f>
        <v>-1.2082698399679334E-2</v>
      </c>
    </row>
    <row r="71" spans="1:8" x14ac:dyDescent="0.25">
      <c r="A71" s="24">
        <v>42733</v>
      </c>
      <c r="B71" s="22">
        <v>62.860000999999997</v>
      </c>
      <c r="C71" s="22">
        <v>63.200001</v>
      </c>
      <c r="D71" s="22">
        <v>62.73</v>
      </c>
      <c r="E71" s="22">
        <v>62.900002000000001</v>
      </c>
      <c r="F71" s="22">
        <v>10250600</v>
      </c>
      <c r="G71" s="22">
        <v>62.520968000000003</v>
      </c>
      <c r="H71" s="22">
        <f t="shared" si="1"/>
        <v>-1.428803566996867E-3</v>
      </c>
    </row>
    <row r="72" spans="1:8" x14ac:dyDescent="0.25">
      <c r="A72" s="24">
        <v>42732</v>
      </c>
      <c r="B72" s="22">
        <v>63.400002000000001</v>
      </c>
      <c r="C72" s="22">
        <v>63.400002000000001</v>
      </c>
      <c r="D72" s="22">
        <v>62.830002</v>
      </c>
      <c r="E72" s="22">
        <v>62.990001999999997</v>
      </c>
      <c r="F72" s="22">
        <v>14653300</v>
      </c>
      <c r="G72" s="22">
        <v>62.610425999999997</v>
      </c>
      <c r="H72" s="22">
        <f t="shared" si="1"/>
        <v>-4.5827515444482802E-3</v>
      </c>
    </row>
    <row r="73" spans="1:8" x14ac:dyDescent="0.25">
      <c r="A73" s="24">
        <v>42731</v>
      </c>
      <c r="B73" s="22">
        <v>63.209999000000003</v>
      </c>
      <c r="C73" s="22">
        <v>64.069999999999993</v>
      </c>
      <c r="D73" s="22">
        <v>63.209999000000003</v>
      </c>
      <c r="E73" s="22">
        <v>63.279998999999997</v>
      </c>
      <c r="F73" s="22">
        <v>11763200</v>
      </c>
      <c r="G73" s="22">
        <v>62.898674999999997</v>
      </c>
      <c r="H73" s="22">
        <f t="shared" si="1"/>
        <v>6.3246394676302051E-4</v>
      </c>
    </row>
    <row r="74" spans="1:8" x14ac:dyDescent="0.25">
      <c r="A74" s="24">
        <v>42727</v>
      </c>
      <c r="B74" s="22">
        <v>63.450001</v>
      </c>
      <c r="C74" s="22">
        <v>63.540000999999997</v>
      </c>
      <c r="D74" s="22">
        <v>62.799999</v>
      </c>
      <c r="E74" s="22">
        <v>63.240001999999997</v>
      </c>
      <c r="F74" s="22">
        <v>12403800</v>
      </c>
      <c r="G74" s="22">
        <v>62.858919</v>
      </c>
      <c r="H74" s="22">
        <f t="shared" si="1"/>
        <v>-4.8780179678806664E-3</v>
      </c>
    </row>
    <row r="75" spans="1:8" x14ac:dyDescent="0.25">
      <c r="A75" s="24">
        <v>42726</v>
      </c>
      <c r="B75" s="22">
        <v>63.84</v>
      </c>
      <c r="C75" s="22">
        <v>64.099997999999999</v>
      </c>
      <c r="D75" s="22">
        <v>63.41</v>
      </c>
      <c r="E75" s="22">
        <v>63.549999</v>
      </c>
      <c r="F75" s="22">
        <v>22176600</v>
      </c>
      <c r="G75" s="22">
        <v>63.167048999999999</v>
      </c>
      <c r="H75" s="22">
        <f t="shared" si="1"/>
        <v>1.5735361929392601E-4</v>
      </c>
    </row>
    <row r="76" spans="1:8" x14ac:dyDescent="0.25">
      <c r="A76" s="24">
        <v>42725</v>
      </c>
      <c r="B76" s="22">
        <v>63.43</v>
      </c>
      <c r="C76" s="22">
        <v>63.700001</v>
      </c>
      <c r="D76" s="22">
        <v>63.119999</v>
      </c>
      <c r="E76" s="22">
        <v>63.540000999999997</v>
      </c>
      <c r="F76" s="22">
        <v>17096300</v>
      </c>
      <c r="G76" s="22">
        <v>63.157111</v>
      </c>
      <c r="H76" s="22">
        <f t="shared" si="1"/>
        <v>0</v>
      </c>
    </row>
    <row r="77" spans="1:8" x14ac:dyDescent="0.25">
      <c r="A77" s="24">
        <v>42724</v>
      </c>
      <c r="B77" s="22">
        <v>63.689999</v>
      </c>
      <c r="C77" s="22">
        <v>63.799999</v>
      </c>
      <c r="D77" s="22">
        <v>63.029998999999997</v>
      </c>
      <c r="E77" s="22">
        <v>63.540000999999997</v>
      </c>
      <c r="F77" s="22">
        <v>26028400</v>
      </c>
      <c r="G77" s="22">
        <v>63.157111</v>
      </c>
      <c r="H77" s="22">
        <f t="shared" si="1"/>
        <v>-1.2574358211736713E-3</v>
      </c>
    </row>
    <row r="78" spans="1:8" x14ac:dyDescent="0.25">
      <c r="A78" s="24">
        <v>42723</v>
      </c>
      <c r="B78" s="22">
        <v>62.560001</v>
      </c>
      <c r="C78" s="22">
        <v>63.77</v>
      </c>
      <c r="D78" s="22">
        <v>62.419998</v>
      </c>
      <c r="E78" s="22">
        <v>63.619999</v>
      </c>
      <c r="F78" s="22">
        <v>34338200</v>
      </c>
      <c r="G78" s="22">
        <v>63.236626999999999</v>
      </c>
      <c r="H78" s="22">
        <f t="shared" si="1"/>
        <v>2.118780585693418E-2</v>
      </c>
    </row>
    <row r="79" spans="1:8" x14ac:dyDescent="0.25">
      <c r="A79" s="24">
        <v>42720</v>
      </c>
      <c r="B79" s="22">
        <v>62.950001</v>
      </c>
      <c r="C79" s="22">
        <v>62.950001</v>
      </c>
      <c r="D79" s="22">
        <v>62.119999</v>
      </c>
      <c r="E79" s="22">
        <v>62.299999</v>
      </c>
      <c r="F79" s="22">
        <v>42453100</v>
      </c>
      <c r="G79" s="22">
        <v>61.924581000000003</v>
      </c>
      <c r="H79" s="22">
        <f t="shared" si="1"/>
        <v>-4.47432536783611E-3</v>
      </c>
    </row>
    <row r="80" spans="1:8" x14ac:dyDescent="0.25">
      <c r="A80" s="24">
        <v>42719</v>
      </c>
      <c r="B80" s="22">
        <v>62.700001</v>
      </c>
      <c r="C80" s="22">
        <v>63.150002000000001</v>
      </c>
      <c r="D80" s="22">
        <v>62.299999</v>
      </c>
      <c r="E80" s="22">
        <v>62.580002</v>
      </c>
      <c r="F80" s="22">
        <v>27669900</v>
      </c>
      <c r="G80" s="22">
        <v>62.202897</v>
      </c>
      <c r="H80" s="22">
        <f t="shared" si="1"/>
        <v>-1.5953826932180283E-3</v>
      </c>
    </row>
    <row r="81" spans="1:8" x14ac:dyDescent="0.25">
      <c r="A81" s="24">
        <v>42718</v>
      </c>
      <c r="B81" s="22">
        <v>63</v>
      </c>
      <c r="C81" s="22">
        <v>63.450001</v>
      </c>
      <c r="D81" s="22">
        <v>62.529998999999997</v>
      </c>
      <c r="E81" s="22">
        <v>62.68</v>
      </c>
      <c r="F81" s="22">
        <v>30352700</v>
      </c>
      <c r="G81" s="22">
        <v>62.302292999999999</v>
      </c>
      <c r="H81" s="22">
        <f t="shared" si="1"/>
        <v>-4.7633976759668944E-3</v>
      </c>
    </row>
    <row r="82" spans="1:8" x14ac:dyDescent="0.25">
      <c r="A82" s="24">
        <v>42717</v>
      </c>
      <c r="B82" s="22">
        <v>62.5</v>
      </c>
      <c r="C82" s="22">
        <v>63.419998</v>
      </c>
      <c r="D82" s="22">
        <v>62.240001999999997</v>
      </c>
      <c r="E82" s="22">
        <v>62.98</v>
      </c>
      <c r="F82" s="22">
        <v>35718900</v>
      </c>
      <c r="G82" s="22">
        <v>62.600484000000002</v>
      </c>
      <c r="H82" s="22">
        <f t="shared" si="1"/>
        <v>1.302880908671405E-2</v>
      </c>
    </row>
    <row r="83" spans="1:8" x14ac:dyDescent="0.25">
      <c r="A83" s="24">
        <v>42716</v>
      </c>
      <c r="B83" s="22">
        <v>61.82</v>
      </c>
      <c r="C83" s="22">
        <v>62.299999</v>
      </c>
      <c r="D83" s="22">
        <v>61.720001000000003</v>
      </c>
      <c r="E83" s="22">
        <v>62.169998</v>
      </c>
      <c r="F83" s="22">
        <v>20198100</v>
      </c>
      <c r="G83" s="22">
        <v>61.795363999999999</v>
      </c>
      <c r="H83" s="22">
        <f t="shared" si="1"/>
        <v>3.2273224555418021E-3</v>
      </c>
    </row>
    <row r="84" spans="1:8" x14ac:dyDescent="0.25">
      <c r="A84" s="24">
        <v>42713</v>
      </c>
      <c r="B84" s="22">
        <v>61.18</v>
      </c>
      <c r="C84" s="22">
        <v>61.990001999999997</v>
      </c>
      <c r="D84" s="22">
        <v>61.130001</v>
      </c>
      <c r="E84" s="22">
        <v>61.970001000000003</v>
      </c>
      <c r="F84" s="22">
        <v>27349400</v>
      </c>
      <c r="G84" s="22">
        <v>61.596572000000002</v>
      </c>
      <c r="H84" s="22">
        <f t="shared" si="1"/>
        <v>1.5735174132587341E-2</v>
      </c>
    </row>
    <row r="85" spans="1:8" x14ac:dyDescent="0.25">
      <c r="A85" s="24">
        <v>42712</v>
      </c>
      <c r="B85" s="22">
        <v>61.299999</v>
      </c>
      <c r="C85" s="22">
        <v>61.580002</v>
      </c>
      <c r="D85" s="22">
        <v>60.84</v>
      </c>
      <c r="E85" s="22">
        <v>61.009998000000003</v>
      </c>
      <c r="F85" s="22">
        <v>21220800</v>
      </c>
      <c r="G85" s="22">
        <v>60.642353999999997</v>
      </c>
      <c r="H85" s="22">
        <f t="shared" si="1"/>
        <v>-5.8660641766906845E-3</v>
      </c>
    </row>
    <row r="86" spans="1:8" x14ac:dyDescent="0.25">
      <c r="A86" s="24">
        <v>42711</v>
      </c>
      <c r="B86" s="22">
        <v>60.009998000000003</v>
      </c>
      <c r="C86" s="22">
        <v>61.380001</v>
      </c>
      <c r="D86" s="22">
        <v>59.799999</v>
      </c>
      <c r="E86" s="22">
        <v>61.369999</v>
      </c>
      <c r="F86" s="22">
        <v>30809000</v>
      </c>
      <c r="G86" s="22">
        <v>61.000185000000002</v>
      </c>
      <c r="H86" s="22">
        <f t="shared" si="1"/>
        <v>2.3686369358615841E-2</v>
      </c>
    </row>
    <row r="87" spans="1:8" x14ac:dyDescent="0.25">
      <c r="A87" s="24">
        <v>42710</v>
      </c>
      <c r="B87" s="22">
        <v>60.43</v>
      </c>
      <c r="C87" s="22">
        <v>60.459999000000003</v>
      </c>
      <c r="D87" s="22">
        <v>59.799999</v>
      </c>
      <c r="E87" s="22">
        <v>59.950001</v>
      </c>
      <c r="F87" s="22">
        <v>19907000</v>
      </c>
      <c r="G87" s="22">
        <v>59.588743999999998</v>
      </c>
      <c r="H87" s="22">
        <f t="shared" si="1"/>
        <v>-4.4835604093662572E-3</v>
      </c>
    </row>
    <row r="88" spans="1:8" x14ac:dyDescent="0.25">
      <c r="A88" s="24">
        <v>42709</v>
      </c>
      <c r="B88" s="22">
        <v>59.700001</v>
      </c>
      <c r="C88" s="22">
        <v>60.59</v>
      </c>
      <c r="D88" s="22">
        <v>59.560001</v>
      </c>
      <c r="E88" s="22">
        <v>60.220001000000003</v>
      </c>
      <c r="F88" s="22">
        <v>23552700</v>
      </c>
      <c r="G88" s="22">
        <v>59.857117000000002</v>
      </c>
      <c r="H88" s="22">
        <f t="shared" si="1"/>
        <v>1.637132831545017E-2</v>
      </c>
    </row>
    <row r="89" spans="1:8" x14ac:dyDescent="0.25">
      <c r="A89" s="24">
        <v>42706</v>
      </c>
      <c r="B89" s="22">
        <v>59.080002</v>
      </c>
      <c r="C89" s="22">
        <v>59.470001000000003</v>
      </c>
      <c r="D89" s="22">
        <v>58.799999</v>
      </c>
      <c r="E89" s="22">
        <v>59.25</v>
      </c>
      <c r="F89" s="22">
        <v>25515700</v>
      </c>
      <c r="G89" s="22">
        <v>58.892961</v>
      </c>
      <c r="H89" s="22">
        <f t="shared" si="1"/>
        <v>8.4458266700810519E-4</v>
      </c>
    </row>
    <row r="90" spans="1:8" x14ac:dyDescent="0.25">
      <c r="A90" s="24">
        <v>42705</v>
      </c>
      <c r="B90" s="22">
        <v>60.110000999999997</v>
      </c>
      <c r="C90" s="22">
        <v>60.150002000000001</v>
      </c>
      <c r="D90" s="22">
        <v>58.939999</v>
      </c>
      <c r="E90" s="22">
        <v>59.200001</v>
      </c>
      <c r="F90" s="22">
        <v>34542100</v>
      </c>
      <c r="G90" s="22">
        <v>58.843263</v>
      </c>
      <c r="H90" s="22">
        <f t="shared" si="1"/>
        <v>-1.7590400754309812E-2</v>
      </c>
    </row>
    <row r="91" spans="1:8" x14ac:dyDescent="0.25">
      <c r="A91" s="24">
        <v>42704</v>
      </c>
      <c r="B91" s="22">
        <v>60.860000999999997</v>
      </c>
      <c r="C91" s="22">
        <v>61.18</v>
      </c>
      <c r="D91" s="22">
        <v>60.220001000000003</v>
      </c>
      <c r="E91" s="22">
        <v>60.259998000000003</v>
      </c>
      <c r="F91" s="22">
        <v>34655400</v>
      </c>
      <c r="G91" s="22">
        <v>59.896872999999999</v>
      </c>
      <c r="H91" s="22">
        <f t="shared" si="1"/>
        <v>-1.3586553669275759E-2</v>
      </c>
    </row>
    <row r="92" spans="1:8" x14ac:dyDescent="0.25">
      <c r="A92" s="24">
        <v>42703</v>
      </c>
      <c r="B92" s="22">
        <v>60.650002000000001</v>
      </c>
      <c r="C92" s="22">
        <v>61.41</v>
      </c>
      <c r="D92" s="22">
        <v>60.52</v>
      </c>
      <c r="E92" s="22">
        <v>61.09</v>
      </c>
      <c r="F92" s="22">
        <v>22366700</v>
      </c>
      <c r="G92" s="22">
        <v>60.721874</v>
      </c>
      <c r="H92" s="22">
        <f t="shared" si="1"/>
        <v>7.9194762260429465E-3</v>
      </c>
    </row>
    <row r="93" spans="1:8" x14ac:dyDescent="0.25">
      <c r="A93" s="24">
        <v>42702</v>
      </c>
      <c r="B93" s="22">
        <v>60.34</v>
      </c>
      <c r="C93" s="22">
        <v>61.02</v>
      </c>
      <c r="D93" s="22">
        <v>60.209999000000003</v>
      </c>
      <c r="E93" s="22">
        <v>60.610000999999997</v>
      </c>
      <c r="F93" s="22">
        <v>20732600</v>
      </c>
      <c r="G93" s="22">
        <v>60.244767000000003</v>
      </c>
      <c r="H93" s="22">
        <f t="shared" si="1"/>
        <v>1.3216932359639819E-3</v>
      </c>
    </row>
    <row r="94" spans="1:8" x14ac:dyDescent="0.25">
      <c r="A94" s="24">
        <v>42699</v>
      </c>
      <c r="B94" s="22">
        <v>60.299999</v>
      </c>
      <c r="C94" s="22">
        <v>60.529998999999997</v>
      </c>
      <c r="D94" s="22">
        <v>60.130001</v>
      </c>
      <c r="E94" s="22">
        <v>60.529998999999997</v>
      </c>
      <c r="F94" s="22">
        <v>8409600</v>
      </c>
      <c r="G94" s="22">
        <v>60.165247000000001</v>
      </c>
      <c r="H94" s="22">
        <f t="shared" si="1"/>
        <v>2.1522741184447926E-3</v>
      </c>
    </row>
    <row r="95" spans="1:8" x14ac:dyDescent="0.25">
      <c r="A95" s="24">
        <v>42697</v>
      </c>
      <c r="B95" s="22">
        <v>61.009998000000003</v>
      </c>
      <c r="C95" s="22">
        <v>61.099997999999999</v>
      </c>
      <c r="D95" s="22">
        <v>60.25</v>
      </c>
      <c r="E95" s="22">
        <v>60.400002000000001</v>
      </c>
      <c r="F95" s="22">
        <v>21848900</v>
      </c>
      <c r="G95" s="22">
        <v>60.036033000000003</v>
      </c>
      <c r="H95" s="22">
        <f t="shared" si="1"/>
        <v>-1.1780066965048401E-2</v>
      </c>
    </row>
    <row r="96" spans="1:8" x14ac:dyDescent="0.25">
      <c r="A96" s="24">
        <v>42696</v>
      </c>
      <c r="B96" s="22">
        <v>60.98</v>
      </c>
      <c r="C96" s="22">
        <v>61.259998000000003</v>
      </c>
      <c r="D96" s="22">
        <v>60.810001</v>
      </c>
      <c r="E96" s="22">
        <v>61.119999</v>
      </c>
      <c r="F96" s="22">
        <v>23206700</v>
      </c>
      <c r="G96" s="22">
        <v>60.751691999999998</v>
      </c>
      <c r="H96" s="22">
        <f t="shared" si="1"/>
        <v>4.2720792365959302E-3</v>
      </c>
    </row>
    <row r="97" spans="1:8" x14ac:dyDescent="0.25">
      <c r="A97" s="24">
        <v>42695</v>
      </c>
      <c r="B97" s="22">
        <v>60.5</v>
      </c>
      <c r="C97" s="22">
        <v>60.970001000000003</v>
      </c>
      <c r="D97" s="22">
        <v>60.419998</v>
      </c>
      <c r="E97" s="22">
        <v>60.860000999999997</v>
      </c>
      <c r="F97" s="22">
        <v>19652600</v>
      </c>
      <c r="G97" s="22">
        <v>60.493259999999999</v>
      </c>
      <c r="H97" s="22">
        <f t="shared" si="1"/>
        <v>8.4507418865141046E-3</v>
      </c>
    </row>
    <row r="98" spans="1:8" x14ac:dyDescent="0.25">
      <c r="A98" s="24">
        <v>42692</v>
      </c>
      <c r="B98" s="22">
        <v>60.779998999999997</v>
      </c>
      <c r="C98" s="22">
        <v>61.139999000000003</v>
      </c>
      <c r="D98" s="22">
        <v>60.299999</v>
      </c>
      <c r="E98" s="22">
        <v>60.349997999999999</v>
      </c>
      <c r="F98" s="22">
        <v>27686300</v>
      </c>
      <c r="G98" s="22">
        <v>59.986331</v>
      </c>
      <c r="H98" s="22">
        <f t="shared" si="1"/>
        <v>-4.7823473193552802E-3</v>
      </c>
    </row>
    <row r="99" spans="1:8" x14ac:dyDescent="0.25">
      <c r="A99" s="24">
        <v>42691</v>
      </c>
      <c r="B99" s="22">
        <v>60.41</v>
      </c>
      <c r="C99" s="22">
        <v>60.950001</v>
      </c>
      <c r="D99" s="22">
        <v>59.970001000000003</v>
      </c>
      <c r="E99" s="22">
        <v>60.639999000000003</v>
      </c>
      <c r="F99" s="22">
        <v>32132700</v>
      </c>
      <c r="G99" s="22">
        <v>60.274585000000002</v>
      </c>
      <c r="H99" s="22">
        <f t="shared" si="1"/>
        <v>1.6596792689668394E-2</v>
      </c>
    </row>
    <row r="100" spans="1:8" x14ac:dyDescent="0.25">
      <c r="A100" s="24">
        <v>42690</v>
      </c>
      <c r="B100" s="22">
        <v>58.939999</v>
      </c>
      <c r="C100" s="22">
        <v>59.66</v>
      </c>
      <c r="D100" s="22">
        <v>58.810001</v>
      </c>
      <c r="E100" s="22">
        <v>59.650002000000001</v>
      </c>
      <c r="F100" s="22">
        <v>27332500</v>
      </c>
      <c r="G100" s="22">
        <v>59.290551999999998</v>
      </c>
      <c r="H100" s="22">
        <f t="shared" si="1"/>
        <v>1.3249571692849238E-2</v>
      </c>
    </row>
    <row r="101" spans="1:8" x14ac:dyDescent="0.25">
      <c r="A101" s="24">
        <v>42689</v>
      </c>
      <c r="B101" s="22">
        <v>58.330002</v>
      </c>
      <c r="C101" s="22">
        <v>59.490001999999997</v>
      </c>
      <c r="D101" s="22">
        <v>58.32</v>
      </c>
      <c r="E101" s="22">
        <v>58.869999</v>
      </c>
      <c r="F101" s="22">
        <v>35904100</v>
      </c>
      <c r="G101" s="22">
        <v>58.515250000000002</v>
      </c>
      <c r="H101" s="22">
        <f t="shared" si="1"/>
        <v>1.9747091951290773E-2</v>
      </c>
    </row>
    <row r="102" spans="1:8" x14ac:dyDescent="0.25">
      <c r="A102" s="24">
        <v>42688</v>
      </c>
      <c r="B102" s="22">
        <v>59.02</v>
      </c>
      <c r="C102" s="22">
        <v>59.080002</v>
      </c>
      <c r="D102" s="22">
        <v>57.279998999999997</v>
      </c>
      <c r="E102" s="22">
        <v>58.119999</v>
      </c>
      <c r="F102" s="22">
        <v>41328400</v>
      </c>
      <c r="G102" s="22">
        <v>57.38212</v>
      </c>
      <c r="H102" s="22">
        <f t="shared" si="1"/>
        <v>-1.5249088757221842E-2</v>
      </c>
    </row>
    <row r="103" spans="1:8" x14ac:dyDescent="0.25">
      <c r="A103" s="24">
        <v>42685</v>
      </c>
      <c r="B103" s="22">
        <v>58.23</v>
      </c>
      <c r="C103" s="22">
        <v>59.119999</v>
      </c>
      <c r="D103" s="22">
        <v>58.009998000000003</v>
      </c>
      <c r="E103" s="22">
        <v>59.02</v>
      </c>
      <c r="F103" s="22">
        <v>38767800</v>
      </c>
      <c r="G103" s="22">
        <v>58.270695000000003</v>
      </c>
      <c r="H103" s="22">
        <f t="shared" si="1"/>
        <v>5.4514419678882145E-3</v>
      </c>
    </row>
    <row r="104" spans="1:8" x14ac:dyDescent="0.25">
      <c r="A104" s="24">
        <v>42684</v>
      </c>
      <c r="B104" s="22">
        <v>60.48</v>
      </c>
      <c r="C104" s="22">
        <v>60.490001999999997</v>
      </c>
      <c r="D104" s="22">
        <v>57.630001</v>
      </c>
      <c r="E104" s="22">
        <v>58.700001</v>
      </c>
      <c r="F104" s="22">
        <v>57822400</v>
      </c>
      <c r="G104" s="22">
        <v>57.954757999999998</v>
      </c>
      <c r="H104" s="22">
        <f t="shared" si="1"/>
        <v>-2.4430743156261772E-2</v>
      </c>
    </row>
    <row r="105" spans="1:8" x14ac:dyDescent="0.25">
      <c r="A105" s="24">
        <v>42683</v>
      </c>
      <c r="B105" s="22">
        <v>60</v>
      </c>
      <c r="C105" s="22">
        <v>60.59</v>
      </c>
      <c r="D105" s="22">
        <v>59.200001</v>
      </c>
      <c r="E105" s="22">
        <v>60.169998</v>
      </c>
      <c r="F105" s="22">
        <v>49632500</v>
      </c>
      <c r="G105" s="22">
        <v>59.406092999999998</v>
      </c>
      <c r="H105" s="22">
        <f t="shared" si="1"/>
        <v>-4.9611834802911299E-3</v>
      </c>
    </row>
    <row r="106" spans="1:8" x14ac:dyDescent="0.25">
      <c r="A106" s="24">
        <v>42682</v>
      </c>
      <c r="B106" s="22">
        <v>60.549999</v>
      </c>
      <c r="C106" s="22">
        <v>60.779998999999997</v>
      </c>
      <c r="D106" s="22">
        <v>60.150002000000001</v>
      </c>
      <c r="E106" s="22">
        <v>60.470001000000003</v>
      </c>
      <c r="F106" s="22">
        <v>22935400</v>
      </c>
      <c r="G106" s="22">
        <v>59.702286999999998</v>
      </c>
      <c r="H106" s="22">
        <f t="shared" si="1"/>
        <v>8.2758733063844183E-4</v>
      </c>
    </row>
    <row r="107" spans="1:8" x14ac:dyDescent="0.25">
      <c r="A107" s="24">
        <v>42681</v>
      </c>
      <c r="B107" s="22">
        <v>59.779998999999997</v>
      </c>
      <c r="C107" s="22">
        <v>60.52</v>
      </c>
      <c r="D107" s="22">
        <v>59.779998999999997</v>
      </c>
      <c r="E107" s="22">
        <v>60.419998</v>
      </c>
      <c r="F107" s="22">
        <v>31664800</v>
      </c>
      <c r="G107" s="22">
        <v>59.652918999999997</v>
      </c>
      <c r="H107" s="22">
        <f t="shared" si="1"/>
        <v>2.9126210744831904E-2</v>
      </c>
    </row>
    <row r="108" spans="1:8" x14ac:dyDescent="0.25">
      <c r="A108" s="24">
        <v>42678</v>
      </c>
      <c r="B108" s="22">
        <v>58.650002000000001</v>
      </c>
      <c r="C108" s="22">
        <v>59.279998999999997</v>
      </c>
      <c r="D108" s="22">
        <v>58.52</v>
      </c>
      <c r="E108" s="22">
        <v>58.709999000000003</v>
      </c>
      <c r="F108" s="22">
        <v>28697000</v>
      </c>
      <c r="G108" s="22">
        <v>57.964629000000002</v>
      </c>
      <c r="H108" s="22">
        <f t="shared" si="1"/>
        <v>-8.4445178947358604E-3</v>
      </c>
    </row>
    <row r="109" spans="1:8" x14ac:dyDescent="0.25">
      <c r="A109" s="24">
        <v>42677</v>
      </c>
      <c r="B109" s="22">
        <v>59.529998999999997</v>
      </c>
      <c r="C109" s="22">
        <v>59.639999000000003</v>
      </c>
      <c r="D109" s="22">
        <v>59.110000999999997</v>
      </c>
      <c r="E109" s="22">
        <v>59.209999000000003</v>
      </c>
      <c r="F109" s="22">
        <v>21600400</v>
      </c>
      <c r="G109" s="22">
        <v>58.458280999999999</v>
      </c>
      <c r="H109" s="22">
        <f t="shared" si="1"/>
        <v>-3.7018693836217468E-3</v>
      </c>
    </row>
    <row r="110" spans="1:8" x14ac:dyDescent="0.25">
      <c r="A110" s="24">
        <v>42676</v>
      </c>
      <c r="B110" s="22">
        <v>59.82</v>
      </c>
      <c r="C110" s="22">
        <v>59.93</v>
      </c>
      <c r="D110" s="22">
        <v>59.299999</v>
      </c>
      <c r="E110" s="22">
        <v>59.43</v>
      </c>
      <c r="F110" s="22">
        <v>22147000</v>
      </c>
      <c r="G110" s="22">
        <v>58.675490000000003</v>
      </c>
      <c r="H110" s="22">
        <f t="shared" si="1"/>
        <v>-6.1872646658815127E-3</v>
      </c>
    </row>
    <row r="111" spans="1:8" x14ac:dyDescent="0.25">
      <c r="A111" s="24">
        <v>42675</v>
      </c>
      <c r="B111" s="22">
        <v>59.970001000000003</v>
      </c>
      <c r="C111" s="22">
        <v>60.02</v>
      </c>
      <c r="D111" s="22">
        <v>59.25</v>
      </c>
      <c r="E111" s="22">
        <v>59.799999</v>
      </c>
      <c r="F111" s="22">
        <v>24533000</v>
      </c>
      <c r="G111" s="22">
        <v>59.040790999999999</v>
      </c>
      <c r="H111" s="22">
        <f t="shared" si="1"/>
        <v>-2.0026448604011358E-3</v>
      </c>
    </row>
    <row r="112" spans="1:8" x14ac:dyDescent="0.25">
      <c r="A112" s="24">
        <v>42674</v>
      </c>
      <c r="B112" s="22">
        <v>60.16</v>
      </c>
      <c r="C112" s="22">
        <v>60.419998</v>
      </c>
      <c r="D112" s="22">
        <v>59.919998</v>
      </c>
      <c r="E112" s="22">
        <v>59.919998</v>
      </c>
      <c r="F112" s="22">
        <v>26434700</v>
      </c>
      <c r="G112" s="22">
        <v>59.159266000000002</v>
      </c>
      <c r="H112" s="22">
        <f t="shared" si="1"/>
        <v>8.3512234549135578E-4</v>
      </c>
    </row>
    <row r="113" spans="1:8" x14ac:dyDescent="0.25">
      <c r="A113" s="24">
        <v>42671</v>
      </c>
      <c r="B113" s="22">
        <v>60.009998000000003</v>
      </c>
      <c r="C113" s="22">
        <v>60.52</v>
      </c>
      <c r="D113" s="22">
        <v>59.580002</v>
      </c>
      <c r="E113" s="22">
        <v>59.869999</v>
      </c>
      <c r="F113" s="22">
        <v>33574700</v>
      </c>
      <c r="G113" s="22">
        <v>59.109901999999998</v>
      </c>
      <c r="H113" s="22">
        <f t="shared" si="1"/>
        <v>-3.8269556749617102E-3</v>
      </c>
    </row>
    <row r="114" spans="1:8" x14ac:dyDescent="0.25">
      <c r="A114" s="24">
        <v>42670</v>
      </c>
      <c r="B114" s="22">
        <v>60.610000999999997</v>
      </c>
      <c r="C114" s="22">
        <v>60.830002</v>
      </c>
      <c r="D114" s="22">
        <v>60.09</v>
      </c>
      <c r="E114" s="22">
        <v>60.099997999999999</v>
      </c>
      <c r="F114" s="22">
        <v>28479900</v>
      </c>
      <c r="G114" s="22">
        <v>59.336981999999999</v>
      </c>
      <c r="H114" s="22">
        <f t="shared" si="1"/>
        <v>-8.7415765268624938E-3</v>
      </c>
    </row>
    <row r="115" spans="1:8" x14ac:dyDescent="0.25">
      <c r="A115" s="24">
        <v>42669</v>
      </c>
      <c r="B115" s="22">
        <v>60.810001</v>
      </c>
      <c r="C115" s="22">
        <v>61.200001</v>
      </c>
      <c r="D115" s="22">
        <v>60.470001000000003</v>
      </c>
      <c r="E115" s="22">
        <v>60.630001</v>
      </c>
      <c r="F115" s="22">
        <v>29911600</v>
      </c>
      <c r="G115" s="22">
        <v>59.860255000000002</v>
      </c>
      <c r="H115" s="22">
        <f t="shared" si="1"/>
        <v>-5.9026149083913661E-3</v>
      </c>
    </row>
    <row r="116" spans="1:8" x14ac:dyDescent="0.25">
      <c r="A116" s="24">
        <v>42668</v>
      </c>
      <c r="B116" s="22">
        <v>60.849997999999999</v>
      </c>
      <c r="C116" s="22">
        <v>61.369999</v>
      </c>
      <c r="D116" s="22">
        <v>60.799999</v>
      </c>
      <c r="E116" s="22">
        <v>60.990001999999997</v>
      </c>
      <c r="F116" s="22">
        <v>35137200</v>
      </c>
      <c r="G116" s="22">
        <v>60.215685000000001</v>
      </c>
      <c r="H116" s="22">
        <f t="shared" si="1"/>
        <v>-1.6391712242696957E-4</v>
      </c>
    </row>
    <row r="117" spans="1:8" x14ac:dyDescent="0.25">
      <c r="A117" s="24">
        <v>42667</v>
      </c>
      <c r="B117" s="22">
        <v>59.939999</v>
      </c>
      <c r="C117" s="22">
        <v>61</v>
      </c>
      <c r="D117" s="22">
        <v>59.93</v>
      </c>
      <c r="E117" s="22">
        <v>61</v>
      </c>
      <c r="F117" s="22">
        <v>54067000</v>
      </c>
      <c r="G117" s="22">
        <v>60.225557000000002</v>
      </c>
      <c r="H117" s="22">
        <f t="shared" si="1"/>
        <v>2.2460616276346154E-2</v>
      </c>
    </row>
    <row r="118" spans="1:8" x14ac:dyDescent="0.25">
      <c r="A118" s="24">
        <v>42664</v>
      </c>
      <c r="B118" s="22">
        <v>60.279998999999997</v>
      </c>
      <c r="C118" s="22">
        <v>60.450001</v>
      </c>
      <c r="D118" s="22">
        <v>59.490001999999997</v>
      </c>
      <c r="E118" s="22">
        <v>59.66</v>
      </c>
      <c r="F118" s="22">
        <v>80032200</v>
      </c>
      <c r="G118" s="22">
        <v>58.902569</v>
      </c>
      <c r="H118" s="22">
        <f t="shared" si="1"/>
        <v>4.2096067300971714E-2</v>
      </c>
    </row>
    <row r="119" spans="1:8" x14ac:dyDescent="0.25">
      <c r="A119" s="24">
        <v>42663</v>
      </c>
      <c r="B119" s="22">
        <v>57.5</v>
      </c>
      <c r="C119" s="22">
        <v>57.52</v>
      </c>
      <c r="D119" s="22">
        <v>56.66</v>
      </c>
      <c r="E119" s="22">
        <v>57.25</v>
      </c>
      <c r="F119" s="22">
        <v>49455600</v>
      </c>
      <c r="G119" s="22">
        <v>56.523166000000003</v>
      </c>
      <c r="H119" s="22">
        <f t="shared" si="1"/>
        <v>-4.8670052488036077E-3</v>
      </c>
    </row>
    <row r="120" spans="1:8" x14ac:dyDescent="0.25">
      <c r="A120" s="24">
        <v>42662</v>
      </c>
      <c r="B120" s="22">
        <v>57.470001000000003</v>
      </c>
      <c r="C120" s="22">
        <v>57.84</v>
      </c>
      <c r="D120" s="22">
        <v>57.400002000000001</v>
      </c>
      <c r="E120" s="22">
        <v>57.529998999999997</v>
      </c>
      <c r="F120" s="22">
        <v>22878400</v>
      </c>
      <c r="G120" s="22">
        <v>56.799610000000001</v>
      </c>
      <c r="H120" s="22">
        <f t="shared" si="1"/>
        <v>-2.2546214153006832E-3</v>
      </c>
    </row>
    <row r="121" spans="1:8" x14ac:dyDescent="0.25">
      <c r="A121" s="24">
        <v>42661</v>
      </c>
      <c r="B121" s="22">
        <v>57.529998999999997</v>
      </c>
      <c r="C121" s="22">
        <v>57.950001</v>
      </c>
      <c r="D121" s="22">
        <v>57.41</v>
      </c>
      <c r="E121" s="22">
        <v>57.66</v>
      </c>
      <c r="F121" s="22">
        <v>19149500</v>
      </c>
      <c r="G121" s="22">
        <v>56.927961000000003</v>
      </c>
      <c r="H121" s="22">
        <f t="shared" si="1"/>
        <v>7.689603775638351E-3</v>
      </c>
    </row>
    <row r="122" spans="1:8" x14ac:dyDescent="0.25">
      <c r="A122" s="24">
        <v>42660</v>
      </c>
      <c r="B122" s="22">
        <v>57.360000999999997</v>
      </c>
      <c r="C122" s="22">
        <v>57.459999000000003</v>
      </c>
      <c r="D122" s="22">
        <v>56.869999</v>
      </c>
      <c r="E122" s="22">
        <v>57.220001000000003</v>
      </c>
      <c r="F122" s="22">
        <v>23830000</v>
      </c>
      <c r="G122" s="22">
        <v>56.493547999999997</v>
      </c>
      <c r="H122" s="22">
        <f t="shared" si="1"/>
        <v>-3.4830569067693835E-3</v>
      </c>
    </row>
    <row r="123" spans="1:8" x14ac:dyDescent="0.25">
      <c r="A123" s="24">
        <v>42657</v>
      </c>
      <c r="B123" s="22">
        <v>57.119999</v>
      </c>
      <c r="C123" s="22">
        <v>57.740001999999997</v>
      </c>
      <c r="D123" s="22">
        <v>57.119999</v>
      </c>
      <c r="E123" s="22">
        <v>57.419998</v>
      </c>
      <c r="F123" s="22">
        <v>27402500</v>
      </c>
      <c r="G123" s="22">
        <v>56.691006000000002</v>
      </c>
      <c r="H123" s="22">
        <f t="shared" si="1"/>
        <v>8.7842569954450951E-3</v>
      </c>
    </row>
    <row r="124" spans="1:8" x14ac:dyDescent="0.25">
      <c r="A124" s="24">
        <v>42656</v>
      </c>
      <c r="B124" s="22">
        <v>56.700001</v>
      </c>
      <c r="C124" s="22">
        <v>57.299999</v>
      </c>
      <c r="D124" s="22">
        <v>56.32</v>
      </c>
      <c r="E124" s="22">
        <v>56.919998</v>
      </c>
      <c r="F124" s="22">
        <v>25313700</v>
      </c>
      <c r="G124" s="22">
        <v>56.197353999999997</v>
      </c>
      <c r="H124" s="22">
        <f t="shared" si="1"/>
        <v>-3.3269519607929407E-3</v>
      </c>
    </row>
    <row r="125" spans="1:8" x14ac:dyDescent="0.25">
      <c r="A125" s="24">
        <v>42655</v>
      </c>
      <c r="B125" s="22">
        <v>57.110000999999997</v>
      </c>
      <c r="C125" s="22">
        <v>57.27</v>
      </c>
      <c r="D125" s="22">
        <v>56.400002000000001</v>
      </c>
      <c r="E125" s="22">
        <v>57.110000999999997</v>
      </c>
      <c r="F125" s="22">
        <v>22177500</v>
      </c>
      <c r="G125" s="22">
        <v>56.384943999999997</v>
      </c>
      <c r="H125" s="22">
        <f t="shared" si="1"/>
        <v>-1.3988046102214613E-3</v>
      </c>
    </row>
    <row r="126" spans="1:8" x14ac:dyDescent="0.25">
      <c r="A126" s="24">
        <v>42654</v>
      </c>
      <c r="B126" s="22">
        <v>57.889999000000003</v>
      </c>
      <c r="C126" s="22">
        <v>58.02</v>
      </c>
      <c r="D126" s="22">
        <v>56.889999000000003</v>
      </c>
      <c r="E126" s="22">
        <v>57.189999</v>
      </c>
      <c r="F126" s="22">
        <v>26497400</v>
      </c>
      <c r="G126" s="22">
        <v>56.463926000000001</v>
      </c>
      <c r="H126" s="22">
        <f t="shared" si="1"/>
        <v>-1.4645114455077718E-2</v>
      </c>
    </row>
    <row r="127" spans="1:8" x14ac:dyDescent="0.25">
      <c r="A127" s="24">
        <v>42653</v>
      </c>
      <c r="B127" s="22">
        <v>57.91</v>
      </c>
      <c r="C127" s="22">
        <v>58.389999000000003</v>
      </c>
      <c r="D127" s="22">
        <v>57.869999</v>
      </c>
      <c r="E127" s="22">
        <v>58.040000999999997</v>
      </c>
      <c r="F127" s="22">
        <v>18196500</v>
      </c>
      <c r="G127" s="22">
        <v>57.303137</v>
      </c>
      <c r="H127" s="22">
        <f t="shared" si="1"/>
        <v>4.1522665008100722E-3</v>
      </c>
    </row>
    <row r="128" spans="1:8" x14ac:dyDescent="0.25">
      <c r="A128" s="24">
        <v>42650</v>
      </c>
      <c r="B128" s="22">
        <v>57.849997999999999</v>
      </c>
      <c r="C128" s="22">
        <v>57.98</v>
      </c>
      <c r="D128" s="22">
        <v>57.419998</v>
      </c>
      <c r="E128" s="22">
        <v>57.799999</v>
      </c>
      <c r="F128" s="22">
        <v>20089000</v>
      </c>
      <c r="G128" s="22">
        <v>57.066183000000002</v>
      </c>
      <c r="H128" s="22">
        <f t="shared" si="1"/>
        <v>1.0391014274103404E-3</v>
      </c>
    </row>
    <row r="129" spans="1:8" x14ac:dyDescent="0.25">
      <c r="A129" s="24">
        <v>42649</v>
      </c>
      <c r="B129" s="22">
        <v>57.740001999999997</v>
      </c>
      <c r="C129" s="22">
        <v>57.860000999999997</v>
      </c>
      <c r="D129" s="22">
        <v>57.279998999999997</v>
      </c>
      <c r="E129" s="22">
        <v>57.740001999999997</v>
      </c>
      <c r="F129" s="22">
        <v>16212600</v>
      </c>
      <c r="G129" s="22">
        <v>57.006946999999997</v>
      </c>
      <c r="H129" s="22">
        <f t="shared" si="1"/>
        <v>1.7349516539035251E-3</v>
      </c>
    </row>
    <row r="130" spans="1:8" x14ac:dyDescent="0.25">
      <c r="A130" s="24">
        <v>42648</v>
      </c>
      <c r="B130" s="22">
        <v>57.290000999999997</v>
      </c>
      <c r="C130" s="22">
        <v>57.959999000000003</v>
      </c>
      <c r="D130" s="22">
        <v>57.259998000000003</v>
      </c>
      <c r="E130" s="22">
        <v>57.639999000000003</v>
      </c>
      <c r="F130" s="22">
        <v>16726400</v>
      </c>
      <c r="G130" s="22">
        <v>56.908214000000001</v>
      </c>
      <c r="H130" s="22">
        <f t="shared" si="1"/>
        <v>6.9880724526857193E-3</v>
      </c>
    </row>
    <row r="131" spans="1:8" x14ac:dyDescent="0.25">
      <c r="A131" s="24">
        <v>42647</v>
      </c>
      <c r="B131" s="22">
        <v>57.27</v>
      </c>
      <c r="C131" s="22">
        <v>57.599997999999999</v>
      </c>
      <c r="D131" s="22">
        <v>56.970001000000003</v>
      </c>
      <c r="E131" s="22">
        <v>57.240001999999997</v>
      </c>
      <c r="F131" s="22">
        <v>20085900</v>
      </c>
      <c r="G131" s="22">
        <v>56.513294999999999</v>
      </c>
      <c r="H131" s="22">
        <f t="shared" si="1"/>
        <v>-3.1347300487135853E-3</v>
      </c>
    </row>
    <row r="132" spans="1:8" x14ac:dyDescent="0.25">
      <c r="A132" s="24">
        <v>42646</v>
      </c>
      <c r="B132" s="22">
        <v>57.41</v>
      </c>
      <c r="C132" s="22">
        <v>57.549999</v>
      </c>
      <c r="D132" s="22">
        <v>57.060001</v>
      </c>
      <c r="E132" s="22">
        <v>57.419998</v>
      </c>
      <c r="F132" s="22">
        <v>19189500</v>
      </c>
      <c r="G132" s="22">
        <v>56.691006000000002</v>
      </c>
      <c r="H132" s="22">
        <f t="shared" si="1"/>
        <v>-3.1250043411385881E-3</v>
      </c>
    </row>
    <row r="133" spans="1:8" x14ac:dyDescent="0.25">
      <c r="A133" s="24">
        <v>42643</v>
      </c>
      <c r="B133" s="22">
        <v>57.57</v>
      </c>
      <c r="C133" s="22">
        <v>57.77</v>
      </c>
      <c r="D133" s="22">
        <v>57.34</v>
      </c>
      <c r="E133" s="22">
        <v>57.599997999999999</v>
      </c>
      <c r="F133" s="22">
        <v>29910800</v>
      </c>
      <c r="G133" s="22">
        <v>56.868721000000001</v>
      </c>
      <c r="H133" s="22">
        <f t="shared" si="1"/>
        <v>3.4842703258615828E-3</v>
      </c>
    </row>
    <row r="134" spans="1:8" x14ac:dyDescent="0.25">
      <c r="A134" s="24">
        <v>42642</v>
      </c>
      <c r="B134" s="22">
        <v>57.810001</v>
      </c>
      <c r="C134" s="22">
        <v>58.169998</v>
      </c>
      <c r="D134" s="22">
        <v>57.209999000000003</v>
      </c>
      <c r="E134" s="22">
        <v>57.400002000000001</v>
      </c>
      <c r="F134" s="22">
        <v>25463500</v>
      </c>
      <c r="G134" s="22">
        <v>56.671263000000003</v>
      </c>
      <c r="H134" s="22">
        <f t="shared" ref="H134:H197" si="2">(G134-G135)/G135</f>
        <v>-1.0856407512632033E-2</v>
      </c>
    </row>
    <row r="135" spans="1:8" x14ac:dyDescent="0.25">
      <c r="A135" s="24">
        <v>42641</v>
      </c>
      <c r="B135" s="22">
        <v>57.880001</v>
      </c>
      <c r="C135" s="22">
        <v>58.060001</v>
      </c>
      <c r="D135" s="22">
        <v>57.669998</v>
      </c>
      <c r="E135" s="22">
        <v>58.029998999999997</v>
      </c>
      <c r="F135" s="22">
        <v>20536400</v>
      </c>
      <c r="G135" s="22">
        <v>57.293261999999999</v>
      </c>
      <c r="H135" s="22">
        <f t="shared" si="2"/>
        <v>1.3804595635914028E-3</v>
      </c>
    </row>
    <row r="136" spans="1:8" x14ac:dyDescent="0.25">
      <c r="A136" s="24">
        <v>42640</v>
      </c>
      <c r="B136" s="22">
        <v>56.93</v>
      </c>
      <c r="C136" s="22">
        <v>58.060001</v>
      </c>
      <c r="D136" s="22">
        <v>56.68</v>
      </c>
      <c r="E136" s="22">
        <v>57.950001</v>
      </c>
      <c r="F136" s="22">
        <v>28065100</v>
      </c>
      <c r="G136" s="22">
        <v>57.214280000000002</v>
      </c>
      <c r="H136" s="22">
        <f t="shared" si="2"/>
        <v>1.8453419103208277E-2</v>
      </c>
    </row>
    <row r="137" spans="1:8" x14ac:dyDescent="0.25">
      <c r="A137" s="24">
        <v>42639</v>
      </c>
      <c r="B137" s="22">
        <v>57.080002</v>
      </c>
      <c r="C137" s="22">
        <v>57.139999000000003</v>
      </c>
      <c r="D137" s="22">
        <v>56.830002</v>
      </c>
      <c r="E137" s="22">
        <v>56.900002000000001</v>
      </c>
      <c r="F137" s="22">
        <v>21688700</v>
      </c>
      <c r="G137" s="22">
        <v>56.177610999999999</v>
      </c>
      <c r="H137" s="22">
        <f t="shared" si="2"/>
        <v>-9.2286044021080323E-3</v>
      </c>
    </row>
    <row r="138" spans="1:8" x14ac:dyDescent="0.25">
      <c r="A138" s="24">
        <v>42636</v>
      </c>
      <c r="B138" s="22">
        <v>57.869999</v>
      </c>
      <c r="C138" s="22">
        <v>57.91</v>
      </c>
      <c r="D138" s="22">
        <v>57.380001</v>
      </c>
      <c r="E138" s="22">
        <v>57.43</v>
      </c>
      <c r="F138" s="22">
        <v>19955300</v>
      </c>
      <c r="G138" s="22">
        <v>56.700881000000003</v>
      </c>
      <c r="H138" s="22">
        <f t="shared" si="2"/>
        <v>-6.7450597151532321E-3</v>
      </c>
    </row>
    <row r="139" spans="1:8" x14ac:dyDescent="0.25">
      <c r="A139" s="24">
        <v>42635</v>
      </c>
      <c r="B139" s="22">
        <v>57.919998</v>
      </c>
      <c r="C139" s="22">
        <v>58</v>
      </c>
      <c r="D139" s="22">
        <v>57.630001</v>
      </c>
      <c r="E139" s="22">
        <v>57.82</v>
      </c>
      <c r="F139" s="22">
        <v>19822200</v>
      </c>
      <c r="G139" s="22">
        <v>57.085929</v>
      </c>
      <c r="H139" s="22">
        <f t="shared" si="2"/>
        <v>1.0387942908837607E-3</v>
      </c>
    </row>
    <row r="140" spans="1:8" x14ac:dyDescent="0.25">
      <c r="A140" s="24">
        <v>42634</v>
      </c>
      <c r="B140" s="22">
        <v>57.509998000000003</v>
      </c>
      <c r="C140" s="22">
        <v>57.849997999999999</v>
      </c>
      <c r="D140" s="22">
        <v>57.080002</v>
      </c>
      <c r="E140" s="22">
        <v>57.759998000000003</v>
      </c>
      <c r="F140" s="22">
        <v>33707300</v>
      </c>
      <c r="G140" s="22">
        <v>57.026690000000002</v>
      </c>
      <c r="H140" s="22">
        <f t="shared" si="2"/>
        <v>1.6722354003442481E-2</v>
      </c>
    </row>
    <row r="141" spans="1:8" x14ac:dyDescent="0.25">
      <c r="A141" s="24">
        <v>42633</v>
      </c>
      <c r="B141" s="22">
        <v>57.349997999999999</v>
      </c>
      <c r="C141" s="22">
        <v>57.349997999999999</v>
      </c>
      <c r="D141" s="22">
        <v>56.75</v>
      </c>
      <c r="E141" s="22">
        <v>56.810001</v>
      </c>
      <c r="F141" s="22">
        <v>17384000</v>
      </c>
      <c r="G141" s="22">
        <v>56.088754000000002</v>
      </c>
      <c r="H141" s="22">
        <f t="shared" si="2"/>
        <v>-2.1078249561101215E-3</v>
      </c>
    </row>
    <row r="142" spans="1:8" x14ac:dyDescent="0.25">
      <c r="A142" s="24">
        <v>42632</v>
      </c>
      <c r="B142" s="22">
        <v>57.27</v>
      </c>
      <c r="C142" s="22">
        <v>57.75</v>
      </c>
      <c r="D142" s="22">
        <v>56.849997999999999</v>
      </c>
      <c r="E142" s="22">
        <v>56.93</v>
      </c>
      <c r="F142" s="22">
        <v>20937100</v>
      </c>
      <c r="G142" s="22">
        <v>56.207228999999998</v>
      </c>
      <c r="H142" s="22">
        <f t="shared" si="2"/>
        <v>-5.5895135102659544E-3</v>
      </c>
    </row>
    <row r="143" spans="1:8" x14ac:dyDescent="0.25">
      <c r="A143" s="24">
        <v>42629</v>
      </c>
      <c r="B143" s="22">
        <v>57.630001</v>
      </c>
      <c r="C143" s="22">
        <v>57.630001</v>
      </c>
      <c r="D143" s="22">
        <v>56.75</v>
      </c>
      <c r="E143" s="22">
        <v>57.25</v>
      </c>
      <c r="F143" s="22">
        <v>44607000</v>
      </c>
      <c r="G143" s="22">
        <v>56.523166000000003</v>
      </c>
      <c r="H143" s="22">
        <f t="shared" si="2"/>
        <v>1.0491654441457476E-3</v>
      </c>
    </row>
    <row r="144" spans="1:8" x14ac:dyDescent="0.25">
      <c r="A144" s="24">
        <v>42628</v>
      </c>
      <c r="B144" s="22">
        <v>56.150002000000001</v>
      </c>
      <c r="C144" s="22">
        <v>57.349997999999999</v>
      </c>
      <c r="D144" s="22">
        <v>55.98</v>
      </c>
      <c r="E144" s="22">
        <v>57.189999</v>
      </c>
      <c r="F144" s="22">
        <v>26847000</v>
      </c>
      <c r="G144" s="22">
        <v>56.463926000000001</v>
      </c>
      <c r="H144" s="22">
        <f t="shared" si="2"/>
        <v>1.6530396673314265E-2</v>
      </c>
    </row>
    <row r="145" spans="1:8" x14ac:dyDescent="0.25">
      <c r="A145" s="24">
        <v>42627</v>
      </c>
      <c r="B145" s="22">
        <v>56.389999000000003</v>
      </c>
      <c r="C145" s="22">
        <v>56.630001</v>
      </c>
      <c r="D145" s="22">
        <v>56.029998999999997</v>
      </c>
      <c r="E145" s="22">
        <v>56.259998000000003</v>
      </c>
      <c r="F145" s="22">
        <v>24062500</v>
      </c>
      <c r="G145" s="22">
        <v>55.545732999999998</v>
      </c>
      <c r="H145" s="22">
        <f t="shared" si="2"/>
        <v>-4.7762405660142599E-3</v>
      </c>
    </row>
    <row r="146" spans="1:8" x14ac:dyDescent="0.25">
      <c r="A146" s="24">
        <v>42626</v>
      </c>
      <c r="B146" s="22">
        <v>56.5</v>
      </c>
      <c r="C146" s="22">
        <v>56.650002000000001</v>
      </c>
      <c r="D146" s="22">
        <v>56.049999</v>
      </c>
      <c r="E146" s="22">
        <v>56.529998999999997</v>
      </c>
      <c r="F146" s="22">
        <v>30130200</v>
      </c>
      <c r="G146" s="22">
        <v>55.812306</v>
      </c>
      <c r="H146" s="22">
        <f t="shared" si="2"/>
        <v>-9.114808400796948E-3</v>
      </c>
    </row>
    <row r="147" spans="1:8" x14ac:dyDescent="0.25">
      <c r="A147" s="24">
        <v>42625</v>
      </c>
      <c r="B147" s="22">
        <v>56</v>
      </c>
      <c r="C147" s="22">
        <v>57.209999000000003</v>
      </c>
      <c r="D147" s="22">
        <v>55.610000999999997</v>
      </c>
      <c r="E147" s="22">
        <v>57.049999</v>
      </c>
      <c r="F147" s="22">
        <v>29303000</v>
      </c>
      <c r="G147" s="22">
        <v>56.325704000000002</v>
      </c>
      <c r="H147" s="22">
        <f t="shared" si="2"/>
        <v>1.4943950657384457E-2</v>
      </c>
    </row>
    <row r="148" spans="1:8" x14ac:dyDescent="0.25">
      <c r="A148" s="24">
        <v>42622</v>
      </c>
      <c r="B148" s="22">
        <v>56.790000999999997</v>
      </c>
      <c r="C148" s="22">
        <v>57.52</v>
      </c>
      <c r="D148" s="22">
        <v>56.209999000000003</v>
      </c>
      <c r="E148" s="22">
        <v>56.209999000000003</v>
      </c>
      <c r="F148" s="22">
        <v>35113900</v>
      </c>
      <c r="G148" s="22">
        <v>55.496369000000001</v>
      </c>
      <c r="H148" s="22">
        <f t="shared" si="2"/>
        <v>-2.124326780742615E-2</v>
      </c>
    </row>
    <row r="149" spans="1:8" x14ac:dyDescent="0.25">
      <c r="A149" s="24">
        <v>42621</v>
      </c>
      <c r="B149" s="22">
        <v>57.630001</v>
      </c>
      <c r="C149" s="22">
        <v>57.790000999999997</v>
      </c>
      <c r="D149" s="22">
        <v>57.18</v>
      </c>
      <c r="E149" s="22">
        <v>57.43</v>
      </c>
      <c r="F149" s="22">
        <v>20146100</v>
      </c>
      <c r="G149" s="22">
        <v>56.700881000000003</v>
      </c>
      <c r="H149" s="22">
        <f t="shared" si="2"/>
        <v>-3.9889009901478961E-3</v>
      </c>
    </row>
    <row r="150" spans="1:8" x14ac:dyDescent="0.25">
      <c r="A150" s="24">
        <v>42620</v>
      </c>
      <c r="B150" s="22">
        <v>57.470001000000003</v>
      </c>
      <c r="C150" s="22">
        <v>57.84</v>
      </c>
      <c r="D150" s="22">
        <v>57.41</v>
      </c>
      <c r="E150" s="22">
        <v>57.66</v>
      </c>
      <c r="F150" s="22">
        <v>17493400</v>
      </c>
      <c r="G150" s="22">
        <v>56.927961000000003</v>
      </c>
      <c r="H150" s="22">
        <f t="shared" si="2"/>
        <v>8.6790116971244605E-4</v>
      </c>
    </row>
    <row r="151" spans="1:8" x14ac:dyDescent="0.25">
      <c r="A151" s="24">
        <v>42619</v>
      </c>
      <c r="B151" s="22">
        <v>57.779998999999997</v>
      </c>
      <c r="C151" s="22">
        <v>57.799999</v>
      </c>
      <c r="D151" s="22">
        <v>57.209999000000003</v>
      </c>
      <c r="E151" s="22">
        <v>57.610000999999997</v>
      </c>
      <c r="F151" s="22">
        <v>16278400</v>
      </c>
      <c r="G151" s="22">
        <v>56.878596000000002</v>
      </c>
      <c r="H151" s="22">
        <f t="shared" si="2"/>
        <v>-1.0403627591580675E-3</v>
      </c>
    </row>
    <row r="152" spans="1:8" x14ac:dyDescent="0.25">
      <c r="A152" s="24">
        <v>42615</v>
      </c>
      <c r="B152" s="22">
        <v>57.669998</v>
      </c>
      <c r="C152" s="22">
        <v>58.189999</v>
      </c>
      <c r="D152" s="22">
        <v>57.419998</v>
      </c>
      <c r="E152" s="22">
        <v>57.669998</v>
      </c>
      <c r="F152" s="22">
        <v>18900500</v>
      </c>
      <c r="G152" s="22">
        <v>56.937832</v>
      </c>
      <c r="H152" s="22">
        <f t="shared" si="2"/>
        <v>1.389088945696289E-3</v>
      </c>
    </row>
    <row r="153" spans="1:8" x14ac:dyDescent="0.25">
      <c r="A153" s="24">
        <v>42614</v>
      </c>
      <c r="B153" s="22">
        <v>57.009998000000003</v>
      </c>
      <c r="C153" s="22">
        <v>57.82</v>
      </c>
      <c r="D153" s="22">
        <v>57.009998000000003</v>
      </c>
      <c r="E153" s="22">
        <v>57.59</v>
      </c>
      <c r="F153" s="22">
        <v>26075400</v>
      </c>
      <c r="G153" s="22">
        <v>56.858849999999997</v>
      </c>
      <c r="H153" s="22">
        <f t="shared" si="2"/>
        <v>2.2624690821068751E-3</v>
      </c>
    </row>
    <row r="154" spans="1:8" x14ac:dyDescent="0.25">
      <c r="A154" s="24">
        <v>42613</v>
      </c>
      <c r="B154" s="22">
        <v>57.650002000000001</v>
      </c>
      <c r="C154" s="22">
        <v>57.799999</v>
      </c>
      <c r="D154" s="22">
        <v>57.299999</v>
      </c>
      <c r="E154" s="22">
        <v>57.459999000000003</v>
      </c>
      <c r="F154" s="22">
        <v>20860300</v>
      </c>
      <c r="G154" s="22">
        <v>56.730499000000002</v>
      </c>
      <c r="H154" s="22">
        <f t="shared" si="2"/>
        <v>-7.4278838751577784E-3</v>
      </c>
    </row>
    <row r="155" spans="1:8" x14ac:dyDescent="0.25">
      <c r="A155" s="24">
        <v>42612</v>
      </c>
      <c r="B155" s="22">
        <v>57.98</v>
      </c>
      <c r="C155" s="22">
        <v>58.189999</v>
      </c>
      <c r="D155" s="22">
        <v>57.610000999999997</v>
      </c>
      <c r="E155" s="22">
        <v>57.889999000000003</v>
      </c>
      <c r="F155" s="22">
        <v>16930200</v>
      </c>
      <c r="G155" s="22">
        <v>57.15504</v>
      </c>
      <c r="H155" s="22">
        <f t="shared" si="2"/>
        <v>-3.614442519663516E-3</v>
      </c>
    </row>
    <row r="156" spans="1:8" x14ac:dyDescent="0.25">
      <c r="A156" s="24">
        <v>42611</v>
      </c>
      <c r="B156" s="22">
        <v>58.18</v>
      </c>
      <c r="C156" s="22">
        <v>58.599997999999999</v>
      </c>
      <c r="D156" s="22">
        <v>58.099997999999999</v>
      </c>
      <c r="E156" s="22">
        <v>58.099997999999999</v>
      </c>
      <c r="F156" s="22">
        <v>16417200</v>
      </c>
      <c r="G156" s="22">
        <v>57.362372999999998</v>
      </c>
      <c r="H156" s="22">
        <f t="shared" si="2"/>
        <v>1.2062675014035591E-3</v>
      </c>
    </row>
    <row r="157" spans="1:8" x14ac:dyDescent="0.25">
      <c r="A157" s="24">
        <v>42608</v>
      </c>
      <c r="B157" s="22">
        <v>58.279998999999997</v>
      </c>
      <c r="C157" s="22">
        <v>58.700001</v>
      </c>
      <c r="D157" s="22">
        <v>57.689999</v>
      </c>
      <c r="E157" s="22">
        <v>58.029998999999997</v>
      </c>
      <c r="F157" s="22">
        <v>20971200</v>
      </c>
      <c r="G157" s="22">
        <v>57.293261999999999</v>
      </c>
      <c r="H157" s="22">
        <f t="shared" si="2"/>
        <v>-2.4067286856108224E-3</v>
      </c>
    </row>
    <row r="158" spans="1:8" x14ac:dyDescent="0.25">
      <c r="A158" s="24">
        <v>42607</v>
      </c>
      <c r="B158" s="22">
        <v>57.880001</v>
      </c>
      <c r="C158" s="22">
        <v>58.290000999999997</v>
      </c>
      <c r="D158" s="22">
        <v>57.779998999999997</v>
      </c>
      <c r="E158" s="22">
        <v>58.169998</v>
      </c>
      <c r="F158" s="22">
        <v>18552600</v>
      </c>
      <c r="G158" s="22">
        <v>57.431483999999998</v>
      </c>
      <c r="H158" s="22">
        <f t="shared" si="2"/>
        <v>3.7963249734156452E-3</v>
      </c>
    </row>
    <row r="159" spans="1:8" x14ac:dyDescent="0.25">
      <c r="A159" s="24">
        <v>42606</v>
      </c>
      <c r="B159" s="22">
        <v>57.799999</v>
      </c>
      <c r="C159" s="22">
        <v>58.040000999999997</v>
      </c>
      <c r="D159" s="22">
        <v>57.720001000000003</v>
      </c>
      <c r="E159" s="22">
        <v>57.950001</v>
      </c>
      <c r="F159" s="22">
        <v>18151500</v>
      </c>
      <c r="G159" s="22">
        <v>57.214280000000002</v>
      </c>
      <c r="H159" s="22">
        <f t="shared" si="2"/>
        <v>1.0364790226724122E-3</v>
      </c>
    </row>
    <row r="160" spans="1:8" x14ac:dyDescent="0.25">
      <c r="A160" s="24">
        <v>42605</v>
      </c>
      <c r="B160" s="22">
        <v>57.900002000000001</v>
      </c>
      <c r="C160" s="22">
        <v>58.18</v>
      </c>
      <c r="D160" s="22">
        <v>57.849997999999999</v>
      </c>
      <c r="E160" s="22">
        <v>57.889999000000003</v>
      </c>
      <c r="F160" s="22">
        <v>18732400</v>
      </c>
      <c r="G160" s="22">
        <v>57.15504</v>
      </c>
      <c r="H160" s="22">
        <f t="shared" si="2"/>
        <v>3.814827371720079E-3</v>
      </c>
    </row>
    <row r="161" spans="1:8" x14ac:dyDescent="0.25">
      <c r="A161" s="24">
        <v>42604</v>
      </c>
      <c r="B161" s="22">
        <v>57.599997999999999</v>
      </c>
      <c r="C161" s="22">
        <v>57.75</v>
      </c>
      <c r="D161" s="22">
        <v>57.259998000000003</v>
      </c>
      <c r="E161" s="22">
        <v>57.669998</v>
      </c>
      <c r="F161" s="22">
        <v>15221900</v>
      </c>
      <c r="G161" s="22">
        <v>56.937832</v>
      </c>
      <c r="H161" s="22">
        <f t="shared" si="2"/>
        <v>8.6773298236818535E-4</v>
      </c>
    </row>
    <row r="162" spans="1:8" x14ac:dyDescent="0.25">
      <c r="A162" s="24">
        <v>42601</v>
      </c>
      <c r="B162" s="22">
        <v>57.43</v>
      </c>
      <c r="C162" s="22">
        <v>57.73</v>
      </c>
      <c r="D162" s="22">
        <v>57.200001</v>
      </c>
      <c r="E162" s="22">
        <v>57.619999</v>
      </c>
      <c r="F162" s="22">
        <v>17271000</v>
      </c>
      <c r="G162" s="22">
        <v>56.888468000000003</v>
      </c>
      <c r="H162" s="22">
        <f t="shared" si="2"/>
        <v>3.4723833511223862E-4</v>
      </c>
    </row>
    <row r="163" spans="1:8" x14ac:dyDescent="0.25">
      <c r="A163" s="24">
        <v>42600</v>
      </c>
      <c r="B163" s="22">
        <v>57.419998</v>
      </c>
      <c r="C163" s="22">
        <v>57.700001</v>
      </c>
      <c r="D163" s="22">
        <v>57.27</v>
      </c>
      <c r="E163" s="22">
        <v>57.599997999999999</v>
      </c>
      <c r="F163" s="22">
        <v>14214300</v>
      </c>
      <c r="G163" s="22">
        <v>56.868721000000001</v>
      </c>
      <c r="H163" s="22">
        <f t="shared" si="2"/>
        <v>6.9487125921397668E-4</v>
      </c>
    </row>
    <row r="164" spans="1:8" x14ac:dyDescent="0.25">
      <c r="A164" s="24">
        <v>42599</v>
      </c>
      <c r="B164" s="22">
        <v>57.540000999999997</v>
      </c>
      <c r="C164" s="22">
        <v>57.68</v>
      </c>
      <c r="D164" s="22">
        <v>57.23</v>
      </c>
      <c r="E164" s="22">
        <v>57.560001</v>
      </c>
      <c r="F164" s="22">
        <v>18856400</v>
      </c>
      <c r="G164" s="22">
        <v>56.829231999999998</v>
      </c>
      <c r="H164" s="22">
        <f t="shared" si="2"/>
        <v>2.0891805122037555E-3</v>
      </c>
    </row>
    <row r="165" spans="1:8" x14ac:dyDescent="0.25">
      <c r="A165" s="24">
        <v>42598</v>
      </c>
      <c r="B165" s="22">
        <v>57.610000999999997</v>
      </c>
      <c r="C165" s="22">
        <v>57.619999</v>
      </c>
      <c r="D165" s="22">
        <v>57.27</v>
      </c>
      <c r="E165" s="22">
        <v>57.439999</v>
      </c>
      <c r="F165" s="22">
        <v>20523500</v>
      </c>
      <c r="G165" s="22">
        <v>56.710752999999997</v>
      </c>
      <c r="H165" s="22">
        <f t="shared" si="2"/>
        <v>-5.5401776687341499E-3</v>
      </c>
    </row>
    <row r="166" spans="1:8" x14ac:dyDescent="0.25">
      <c r="A166" s="24">
        <v>42597</v>
      </c>
      <c r="B166" s="22">
        <v>58.009998000000003</v>
      </c>
      <c r="C166" s="22">
        <v>58.5</v>
      </c>
      <c r="D166" s="22">
        <v>57.959999000000003</v>
      </c>
      <c r="E166" s="22">
        <v>58.119999</v>
      </c>
      <c r="F166" s="22">
        <v>19283900</v>
      </c>
      <c r="G166" s="22">
        <v>57.026691</v>
      </c>
      <c r="H166" s="22">
        <f t="shared" si="2"/>
        <v>3.1066801036466192E-3</v>
      </c>
    </row>
    <row r="167" spans="1:8" x14ac:dyDescent="0.25">
      <c r="A167" s="24">
        <v>42594</v>
      </c>
      <c r="B167" s="22">
        <v>58.029998999999997</v>
      </c>
      <c r="C167" s="22">
        <v>58.189999</v>
      </c>
      <c r="D167" s="22">
        <v>57.619999</v>
      </c>
      <c r="E167" s="22">
        <v>57.939999</v>
      </c>
      <c r="F167" s="22">
        <v>21655200</v>
      </c>
      <c r="G167" s="22">
        <v>56.850076000000001</v>
      </c>
      <c r="H167" s="22">
        <f t="shared" si="2"/>
        <v>-6.1749753794819884E-3</v>
      </c>
    </row>
    <row r="168" spans="1:8" x14ac:dyDescent="0.25">
      <c r="A168" s="24">
        <v>42593</v>
      </c>
      <c r="B168" s="22">
        <v>58.029998999999997</v>
      </c>
      <c r="C168" s="22">
        <v>58.450001</v>
      </c>
      <c r="D168" s="22">
        <v>58.029998999999997</v>
      </c>
      <c r="E168" s="22">
        <v>58.299999</v>
      </c>
      <c r="F168" s="22">
        <v>18162300</v>
      </c>
      <c r="G168" s="22">
        <v>57.203305</v>
      </c>
      <c r="H168" s="22">
        <f t="shared" si="2"/>
        <v>4.8259070186073378E-3</v>
      </c>
    </row>
    <row r="169" spans="1:8" x14ac:dyDescent="0.25">
      <c r="A169" s="24">
        <v>42592</v>
      </c>
      <c r="B169" s="22">
        <v>58.16</v>
      </c>
      <c r="C169" s="22">
        <v>58.32</v>
      </c>
      <c r="D169" s="22">
        <v>57.82</v>
      </c>
      <c r="E169" s="22">
        <v>58.02</v>
      </c>
      <c r="F169" s="22">
        <v>15756900</v>
      </c>
      <c r="G169" s="22">
        <v>56.928573</v>
      </c>
      <c r="H169" s="22">
        <f t="shared" si="2"/>
        <v>-3.0927838481642784E-3</v>
      </c>
    </row>
    <row r="170" spans="1:8" x14ac:dyDescent="0.25">
      <c r="A170" s="24">
        <v>42591</v>
      </c>
      <c r="B170" s="22">
        <v>58.169998</v>
      </c>
      <c r="C170" s="22">
        <v>58.5</v>
      </c>
      <c r="D170" s="22">
        <v>58.02</v>
      </c>
      <c r="E170" s="22">
        <v>58.200001</v>
      </c>
      <c r="F170" s="22">
        <v>16920700</v>
      </c>
      <c r="G170" s="22">
        <v>57.105187000000001</v>
      </c>
      <c r="H170" s="22">
        <f t="shared" si="2"/>
        <v>2.4112735080516617E-3</v>
      </c>
    </row>
    <row r="171" spans="1:8" x14ac:dyDescent="0.25">
      <c r="A171" s="24">
        <v>42590</v>
      </c>
      <c r="B171" s="22">
        <v>58.060001</v>
      </c>
      <c r="C171" s="22">
        <v>58.09</v>
      </c>
      <c r="D171" s="22">
        <v>57.779998999999997</v>
      </c>
      <c r="E171" s="22">
        <v>58.060001</v>
      </c>
      <c r="F171" s="22">
        <v>19473500</v>
      </c>
      <c r="G171" s="22">
        <v>56.967821999999998</v>
      </c>
      <c r="H171" s="22">
        <f t="shared" si="2"/>
        <v>1.725382760942936E-3</v>
      </c>
    </row>
    <row r="172" spans="1:8" x14ac:dyDescent="0.25">
      <c r="A172" s="24">
        <v>42587</v>
      </c>
      <c r="B172" s="22">
        <v>57.650002000000001</v>
      </c>
      <c r="C172" s="22">
        <v>58.209999000000003</v>
      </c>
      <c r="D172" s="22">
        <v>57.450001</v>
      </c>
      <c r="E172" s="22">
        <v>57.959999000000003</v>
      </c>
      <c r="F172" s="22">
        <v>29335200</v>
      </c>
      <c r="G172" s="22">
        <v>56.869700000000002</v>
      </c>
      <c r="H172" s="22">
        <f t="shared" si="2"/>
        <v>9.9320333644093133E-3</v>
      </c>
    </row>
    <row r="173" spans="1:8" x14ac:dyDescent="0.25">
      <c r="A173" s="24">
        <v>42586</v>
      </c>
      <c r="B173" s="22">
        <v>56.799999</v>
      </c>
      <c r="C173" s="22">
        <v>57.52</v>
      </c>
      <c r="D173" s="22">
        <v>56.669998</v>
      </c>
      <c r="E173" s="22">
        <v>57.389999000000003</v>
      </c>
      <c r="F173" s="22">
        <v>26587700</v>
      </c>
      <c r="G173" s="22">
        <v>56.310423</v>
      </c>
      <c r="H173" s="22">
        <f t="shared" si="2"/>
        <v>7.3722601281477167E-3</v>
      </c>
    </row>
    <row r="174" spans="1:8" x14ac:dyDescent="0.25">
      <c r="A174" s="24">
        <v>42585</v>
      </c>
      <c r="B174" s="22">
        <v>56.68</v>
      </c>
      <c r="C174" s="22">
        <v>57.110000999999997</v>
      </c>
      <c r="D174" s="22">
        <v>56.490001999999997</v>
      </c>
      <c r="E174" s="22">
        <v>56.970001000000003</v>
      </c>
      <c r="F174" s="22">
        <v>22075600</v>
      </c>
      <c r="G174" s="22">
        <v>55.898325999999997</v>
      </c>
      <c r="H174" s="22">
        <f t="shared" si="2"/>
        <v>6.8928835453157377E-3</v>
      </c>
    </row>
    <row r="175" spans="1:8" x14ac:dyDescent="0.25">
      <c r="A175" s="24">
        <v>42584</v>
      </c>
      <c r="B175" s="22">
        <v>56.849997999999999</v>
      </c>
      <c r="C175" s="22">
        <v>56.900002000000001</v>
      </c>
      <c r="D175" s="22">
        <v>56.310001</v>
      </c>
      <c r="E175" s="22">
        <v>56.580002</v>
      </c>
      <c r="F175" s="22">
        <v>35122000</v>
      </c>
      <c r="G175" s="22">
        <v>55.515663000000004</v>
      </c>
      <c r="H175" s="22">
        <f t="shared" si="2"/>
        <v>0</v>
      </c>
    </row>
    <row r="176" spans="1:8" x14ac:dyDescent="0.25">
      <c r="A176" s="24">
        <v>42583</v>
      </c>
      <c r="B176" s="22">
        <v>56.599997999999999</v>
      </c>
      <c r="C176" s="22">
        <v>56.75</v>
      </c>
      <c r="D176" s="22">
        <v>56.139999000000003</v>
      </c>
      <c r="E176" s="22">
        <v>56.580002</v>
      </c>
      <c r="F176" s="22">
        <v>26003400</v>
      </c>
      <c r="G176" s="22">
        <v>55.515663000000004</v>
      </c>
      <c r="H176" s="22">
        <f t="shared" si="2"/>
        <v>-1.7642569881060935E-3</v>
      </c>
    </row>
    <row r="177" spans="1:8" x14ac:dyDescent="0.25">
      <c r="A177" s="24">
        <v>42580</v>
      </c>
      <c r="B177" s="22">
        <v>56.259998000000003</v>
      </c>
      <c r="C177" s="22">
        <v>56.759998000000003</v>
      </c>
      <c r="D177" s="22">
        <v>56.049999</v>
      </c>
      <c r="E177" s="22">
        <v>56.68</v>
      </c>
      <c r="F177" s="22">
        <v>30558700</v>
      </c>
      <c r="G177" s="22">
        <v>55.613779999999998</v>
      </c>
      <c r="H177" s="22">
        <f t="shared" si="2"/>
        <v>8.361524801541606E-3</v>
      </c>
    </row>
    <row r="178" spans="1:8" x14ac:dyDescent="0.25">
      <c r="A178" s="24">
        <v>42579</v>
      </c>
      <c r="B178" s="22">
        <v>56</v>
      </c>
      <c r="C178" s="22">
        <v>56.369999</v>
      </c>
      <c r="D178" s="22">
        <v>55.720001000000003</v>
      </c>
      <c r="E178" s="22">
        <v>56.209999000000003</v>
      </c>
      <c r="F178" s="22">
        <v>37550400</v>
      </c>
      <c r="G178" s="22">
        <v>55.152619999999999</v>
      </c>
      <c r="H178" s="22">
        <f t="shared" si="2"/>
        <v>3.5593929994300164E-4</v>
      </c>
    </row>
    <row r="179" spans="1:8" x14ac:dyDescent="0.25">
      <c r="A179" s="24">
        <v>42578</v>
      </c>
      <c r="B179" s="22">
        <v>56.610000999999997</v>
      </c>
      <c r="C179" s="22">
        <v>56.799999</v>
      </c>
      <c r="D179" s="22">
        <v>56.110000999999997</v>
      </c>
      <c r="E179" s="22">
        <v>56.189999</v>
      </c>
      <c r="F179" s="22">
        <v>32327500</v>
      </c>
      <c r="G179" s="22">
        <v>55.132995999999999</v>
      </c>
      <c r="H179" s="22">
        <f t="shared" si="2"/>
        <v>-1.0042272830200368E-2</v>
      </c>
    </row>
    <row r="180" spans="1:8" x14ac:dyDescent="0.25">
      <c r="A180" s="24">
        <v>42577</v>
      </c>
      <c r="B180" s="22">
        <v>56.52</v>
      </c>
      <c r="C180" s="22">
        <v>57.290000999999997</v>
      </c>
      <c r="D180" s="22">
        <v>56.509998000000003</v>
      </c>
      <c r="E180" s="22">
        <v>56.759998000000003</v>
      </c>
      <c r="F180" s="22">
        <v>28079000</v>
      </c>
      <c r="G180" s="22">
        <v>55.692273</v>
      </c>
      <c r="H180" s="22">
        <f t="shared" si="2"/>
        <v>5.2879085093022224E-4</v>
      </c>
    </row>
    <row r="181" spans="1:8" x14ac:dyDescent="0.25">
      <c r="A181" s="24">
        <v>42576</v>
      </c>
      <c r="B181" s="22">
        <v>56.470001000000003</v>
      </c>
      <c r="C181" s="22">
        <v>56.740001999999997</v>
      </c>
      <c r="D181" s="22">
        <v>56.259998000000003</v>
      </c>
      <c r="E181" s="22">
        <v>56.73</v>
      </c>
      <c r="F181" s="22">
        <v>25610600</v>
      </c>
      <c r="G181" s="22">
        <v>55.662838999999998</v>
      </c>
      <c r="H181" s="22">
        <f t="shared" si="2"/>
        <v>2.828350576170818E-3</v>
      </c>
    </row>
    <row r="182" spans="1:8" x14ac:dyDescent="0.25">
      <c r="A182" s="24">
        <v>42573</v>
      </c>
      <c r="B182" s="22">
        <v>56.080002</v>
      </c>
      <c r="C182" s="22">
        <v>56.630001</v>
      </c>
      <c r="D182" s="22">
        <v>55.779998999999997</v>
      </c>
      <c r="E182" s="22">
        <v>56.57</v>
      </c>
      <c r="F182" s="22">
        <v>32157200</v>
      </c>
      <c r="G182" s="22">
        <v>55.505848999999998</v>
      </c>
      <c r="H182" s="22">
        <f t="shared" si="2"/>
        <v>1.3799295065474764E-2</v>
      </c>
    </row>
    <row r="183" spans="1:8" x14ac:dyDescent="0.25">
      <c r="A183" s="24">
        <v>42572</v>
      </c>
      <c r="B183" s="22">
        <v>55.98</v>
      </c>
      <c r="C183" s="22">
        <v>56.23</v>
      </c>
      <c r="D183" s="22">
        <v>55.759998000000003</v>
      </c>
      <c r="E183" s="22">
        <v>55.799999</v>
      </c>
      <c r="F183" s="22">
        <v>32776700</v>
      </c>
      <c r="G183" s="22">
        <v>54.750332999999998</v>
      </c>
      <c r="H183" s="22">
        <f t="shared" si="2"/>
        <v>-1.9674519777002179E-3</v>
      </c>
    </row>
    <row r="184" spans="1:8" x14ac:dyDescent="0.25">
      <c r="A184" s="24">
        <v>42571</v>
      </c>
      <c r="B184" s="22">
        <v>56.150002000000001</v>
      </c>
      <c r="C184" s="22">
        <v>56.84</v>
      </c>
      <c r="D184" s="22">
        <v>55.529998999999997</v>
      </c>
      <c r="E184" s="22">
        <v>55.91</v>
      </c>
      <c r="F184" s="22">
        <v>89893300</v>
      </c>
      <c r="G184" s="22">
        <v>54.858263999999998</v>
      </c>
      <c r="H184" s="22">
        <f t="shared" si="2"/>
        <v>5.3117341333234154E-2</v>
      </c>
    </row>
    <row r="185" spans="1:8" x14ac:dyDescent="0.25">
      <c r="A185" s="24">
        <v>42570</v>
      </c>
      <c r="B185" s="22">
        <v>53.709999000000003</v>
      </c>
      <c r="C185" s="22">
        <v>53.900002000000001</v>
      </c>
      <c r="D185" s="22">
        <v>52.93</v>
      </c>
      <c r="E185" s="22">
        <v>53.09</v>
      </c>
      <c r="F185" s="22">
        <v>53336500</v>
      </c>
      <c r="G185" s="22">
        <v>52.091312000000002</v>
      </c>
      <c r="H185" s="22">
        <f t="shared" si="2"/>
        <v>-1.6123031197784698E-2</v>
      </c>
    </row>
    <row r="186" spans="1:8" x14ac:dyDescent="0.25">
      <c r="A186" s="24">
        <v>42569</v>
      </c>
      <c r="B186" s="22">
        <v>53.700001</v>
      </c>
      <c r="C186" s="22">
        <v>54.34</v>
      </c>
      <c r="D186" s="22">
        <v>53.549999</v>
      </c>
      <c r="E186" s="22">
        <v>53.959999000000003</v>
      </c>
      <c r="F186" s="22">
        <v>31433900</v>
      </c>
      <c r="G186" s="22">
        <v>52.944944999999997</v>
      </c>
      <c r="H186" s="22">
        <f t="shared" si="2"/>
        <v>4.8416736449255222E-3</v>
      </c>
    </row>
    <row r="187" spans="1:8" x14ac:dyDescent="0.25">
      <c r="A187" s="24">
        <v>42566</v>
      </c>
      <c r="B187" s="22">
        <v>53.950001</v>
      </c>
      <c r="C187" s="22">
        <v>54</v>
      </c>
      <c r="D187" s="22">
        <v>53.209999000000003</v>
      </c>
      <c r="E187" s="22">
        <v>53.700001</v>
      </c>
      <c r="F187" s="22">
        <v>32024400</v>
      </c>
      <c r="G187" s="22">
        <v>52.689838000000002</v>
      </c>
      <c r="H187" s="22">
        <f t="shared" si="2"/>
        <v>-7.4433302333366098E-4</v>
      </c>
    </row>
    <row r="188" spans="1:8" x14ac:dyDescent="0.25">
      <c r="A188" s="24">
        <v>42565</v>
      </c>
      <c r="B188" s="22">
        <v>53.84</v>
      </c>
      <c r="C188" s="22">
        <v>53.990001999999997</v>
      </c>
      <c r="D188" s="22">
        <v>53.580002</v>
      </c>
      <c r="E188" s="22">
        <v>53.740001999999997</v>
      </c>
      <c r="F188" s="22">
        <v>24545500</v>
      </c>
      <c r="G188" s="22">
        <v>52.729086000000002</v>
      </c>
      <c r="H188" s="22">
        <f t="shared" si="2"/>
        <v>4.2983112906380743E-3</v>
      </c>
    </row>
    <row r="189" spans="1:8" x14ac:dyDescent="0.25">
      <c r="A189" s="24">
        <v>42564</v>
      </c>
      <c r="B189" s="22">
        <v>53.560001</v>
      </c>
      <c r="C189" s="22">
        <v>53.860000999999997</v>
      </c>
      <c r="D189" s="22">
        <v>53.18</v>
      </c>
      <c r="E189" s="22">
        <v>53.509998000000003</v>
      </c>
      <c r="F189" s="22">
        <v>25356800</v>
      </c>
      <c r="G189" s="22">
        <v>52.503410000000002</v>
      </c>
      <c r="H189" s="22">
        <f t="shared" si="2"/>
        <v>5.6380259255415831E-3</v>
      </c>
    </row>
    <row r="190" spans="1:8" x14ac:dyDescent="0.25">
      <c r="A190" s="24">
        <v>42563</v>
      </c>
      <c r="B190" s="22">
        <v>52.939999</v>
      </c>
      <c r="C190" s="22">
        <v>53.400002000000001</v>
      </c>
      <c r="D190" s="22">
        <v>52.790000999999997</v>
      </c>
      <c r="E190" s="22">
        <v>53.209999000000003</v>
      </c>
      <c r="F190" s="22">
        <v>27317600</v>
      </c>
      <c r="G190" s="22">
        <v>52.209054000000002</v>
      </c>
      <c r="H190" s="22">
        <f t="shared" si="2"/>
        <v>1.1789293319523214E-2</v>
      </c>
    </row>
    <row r="191" spans="1:8" x14ac:dyDescent="0.25">
      <c r="A191" s="24">
        <v>42562</v>
      </c>
      <c r="B191" s="22">
        <v>52.5</v>
      </c>
      <c r="C191" s="22">
        <v>52.830002</v>
      </c>
      <c r="D191" s="22">
        <v>52.470001000000003</v>
      </c>
      <c r="E191" s="22">
        <v>52.59</v>
      </c>
      <c r="F191" s="22">
        <v>22269200</v>
      </c>
      <c r="G191" s="22">
        <v>51.600718000000001</v>
      </c>
      <c r="H191" s="22">
        <f t="shared" si="2"/>
        <v>5.5449576402542035E-3</v>
      </c>
    </row>
    <row r="192" spans="1:8" x14ac:dyDescent="0.25">
      <c r="A192" s="24">
        <v>42559</v>
      </c>
      <c r="B192" s="22">
        <v>51.73</v>
      </c>
      <c r="C192" s="22">
        <v>52.360000999999997</v>
      </c>
      <c r="D192" s="22">
        <v>51.549999</v>
      </c>
      <c r="E192" s="22">
        <v>52.299999</v>
      </c>
      <c r="F192" s="22">
        <v>28391000</v>
      </c>
      <c r="G192" s="22">
        <v>51.316172000000002</v>
      </c>
      <c r="H192" s="22">
        <f t="shared" si="2"/>
        <v>1.79057664735702E-2</v>
      </c>
    </row>
    <row r="193" spans="1:8" x14ac:dyDescent="0.25">
      <c r="A193" s="24">
        <v>42558</v>
      </c>
      <c r="B193" s="22">
        <v>51.419998</v>
      </c>
      <c r="C193" s="22">
        <v>51.610000999999997</v>
      </c>
      <c r="D193" s="22">
        <v>51.07</v>
      </c>
      <c r="E193" s="22">
        <v>51.380001</v>
      </c>
      <c r="F193" s="22">
        <v>19585200</v>
      </c>
      <c r="G193" s="22">
        <v>50.41348</v>
      </c>
      <c r="H193" s="22">
        <f t="shared" si="2"/>
        <v>0</v>
      </c>
    </row>
    <row r="194" spans="1:8" x14ac:dyDescent="0.25">
      <c r="A194" s="24">
        <v>42557</v>
      </c>
      <c r="B194" s="22">
        <v>50.779998999999997</v>
      </c>
      <c r="C194" s="22">
        <v>51.540000999999997</v>
      </c>
      <c r="D194" s="22">
        <v>50.389999000000003</v>
      </c>
      <c r="E194" s="22">
        <v>51.380001</v>
      </c>
      <c r="F194" s="22">
        <v>28167500</v>
      </c>
      <c r="G194" s="22">
        <v>50.41348</v>
      </c>
      <c r="H194" s="22">
        <f t="shared" si="2"/>
        <v>4.104014250640357E-3</v>
      </c>
    </row>
    <row r="195" spans="1:8" x14ac:dyDescent="0.25">
      <c r="A195" s="24">
        <v>42556</v>
      </c>
      <c r="B195" s="22">
        <v>50.830002</v>
      </c>
      <c r="C195" s="22">
        <v>51.279998999999997</v>
      </c>
      <c r="D195" s="22">
        <v>50.740001999999997</v>
      </c>
      <c r="E195" s="22">
        <v>51.169998</v>
      </c>
      <c r="F195" s="22">
        <v>24806400</v>
      </c>
      <c r="G195" s="22">
        <v>50.207428</v>
      </c>
      <c r="H195" s="22">
        <f t="shared" si="2"/>
        <v>1.9542759977179896E-4</v>
      </c>
    </row>
    <row r="196" spans="1:8" x14ac:dyDescent="0.25">
      <c r="A196" s="24">
        <v>42552</v>
      </c>
      <c r="B196" s="22">
        <v>51.130001</v>
      </c>
      <c r="C196" s="22">
        <v>51.720001000000003</v>
      </c>
      <c r="D196" s="22">
        <v>51.07</v>
      </c>
      <c r="E196" s="22">
        <v>51.16</v>
      </c>
      <c r="F196" s="22">
        <v>21400400</v>
      </c>
      <c r="G196" s="22">
        <v>50.197617999999999</v>
      </c>
      <c r="H196" s="22">
        <f t="shared" si="2"/>
        <v>-1.9538941528734853E-4</v>
      </c>
    </row>
    <row r="197" spans="1:8" x14ac:dyDescent="0.25">
      <c r="A197" s="24">
        <v>42551</v>
      </c>
      <c r="B197" s="22">
        <v>50.720001000000003</v>
      </c>
      <c r="C197" s="22">
        <v>51.299999</v>
      </c>
      <c r="D197" s="22">
        <v>50.5</v>
      </c>
      <c r="E197" s="22">
        <v>51.169998</v>
      </c>
      <c r="F197" s="22">
        <v>28527800</v>
      </c>
      <c r="G197" s="22">
        <v>50.207428</v>
      </c>
      <c r="H197" s="22">
        <f t="shared" si="2"/>
        <v>1.2465314581485632E-2</v>
      </c>
    </row>
    <row r="198" spans="1:8" x14ac:dyDescent="0.25">
      <c r="A198" s="24">
        <v>42550</v>
      </c>
      <c r="B198" s="22">
        <v>49.91</v>
      </c>
      <c r="C198" s="22">
        <v>50.720001000000003</v>
      </c>
      <c r="D198" s="22">
        <v>49.799999</v>
      </c>
      <c r="E198" s="22">
        <v>50.540000999999997</v>
      </c>
      <c r="F198" s="22">
        <v>31304000</v>
      </c>
      <c r="G198" s="22">
        <v>49.589281999999997</v>
      </c>
      <c r="H198" s="22">
        <f t="shared" ref="H198:H256" si="3">(G198-G199)/G199</f>
        <v>2.2249239805786726E-2</v>
      </c>
    </row>
    <row r="199" spans="1:8" x14ac:dyDescent="0.25">
      <c r="A199" s="24">
        <v>42549</v>
      </c>
      <c r="B199" s="22">
        <v>48.919998</v>
      </c>
      <c r="C199" s="22">
        <v>49.470001000000003</v>
      </c>
      <c r="D199" s="22">
        <v>48.669998</v>
      </c>
      <c r="E199" s="22">
        <v>49.439999</v>
      </c>
      <c r="F199" s="22">
        <v>38140700</v>
      </c>
      <c r="G199" s="22">
        <v>48.509971999999998</v>
      </c>
      <c r="H199" s="22">
        <f t="shared" si="3"/>
        <v>2.0854806773706894E-2</v>
      </c>
    </row>
    <row r="200" spans="1:8" x14ac:dyDescent="0.25">
      <c r="A200" s="24">
        <v>42548</v>
      </c>
      <c r="B200" s="22">
        <v>49.099997999999999</v>
      </c>
      <c r="C200" s="22">
        <v>49.150002000000001</v>
      </c>
      <c r="D200" s="22">
        <v>48.040000999999997</v>
      </c>
      <c r="E200" s="22">
        <v>48.43</v>
      </c>
      <c r="F200" s="22">
        <v>50216300</v>
      </c>
      <c r="G200" s="22">
        <v>47.518973000000003</v>
      </c>
      <c r="H200" s="22">
        <f t="shared" si="3"/>
        <v>-2.8095538637125606E-2</v>
      </c>
    </row>
    <row r="201" spans="1:8" x14ac:dyDescent="0.25">
      <c r="A201" s="24">
        <v>42545</v>
      </c>
      <c r="B201" s="22">
        <v>49.810001</v>
      </c>
      <c r="C201" s="22">
        <v>50.939999</v>
      </c>
      <c r="D201" s="22">
        <v>49.52</v>
      </c>
      <c r="E201" s="22">
        <v>49.830002</v>
      </c>
      <c r="F201" s="22">
        <v>133503000</v>
      </c>
      <c r="G201" s="22">
        <v>48.892637999999998</v>
      </c>
      <c r="H201" s="22">
        <f t="shared" si="3"/>
        <v>-4.0069318609090979E-2</v>
      </c>
    </row>
    <row r="202" spans="1:8" x14ac:dyDescent="0.25">
      <c r="A202" s="24">
        <v>42544</v>
      </c>
      <c r="B202" s="22">
        <v>51.279998999999997</v>
      </c>
      <c r="C202" s="22">
        <v>52.060001</v>
      </c>
      <c r="D202" s="22">
        <v>51.150002000000001</v>
      </c>
      <c r="E202" s="22">
        <v>51.91</v>
      </c>
      <c r="F202" s="22">
        <v>29028800</v>
      </c>
      <c r="G202" s="22">
        <v>50.933509000000001</v>
      </c>
      <c r="H202" s="22">
        <f t="shared" si="3"/>
        <v>1.8042719550232445E-2</v>
      </c>
    </row>
    <row r="203" spans="1:8" x14ac:dyDescent="0.25">
      <c r="A203" s="24">
        <v>42543</v>
      </c>
      <c r="B203" s="22">
        <v>51.080002</v>
      </c>
      <c r="C203" s="22">
        <v>51.459999000000003</v>
      </c>
      <c r="D203" s="22">
        <v>50.950001</v>
      </c>
      <c r="E203" s="22">
        <v>50.990001999999997</v>
      </c>
      <c r="F203" s="22">
        <v>28816800</v>
      </c>
      <c r="G203" s="22">
        <v>50.030816999999999</v>
      </c>
      <c r="H203" s="22">
        <f t="shared" si="3"/>
        <v>-3.9069583458730866E-3</v>
      </c>
    </row>
    <row r="204" spans="1:8" x14ac:dyDescent="0.25">
      <c r="A204" s="24">
        <v>42542</v>
      </c>
      <c r="B204" s="22">
        <v>50.200001</v>
      </c>
      <c r="C204" s="22">
        <v>51.43</v>
      </c>
      <c r="D204" s="22">
        <v>50.16</v>
      </c>
      <c r="E204" s="22">
        <v>51.189999</v>
      </c>
      <c r="F204" s="22">
        <v>34097800</v>
      </c>
      <c r="G204" s="22">
        <v>50.227052</v>
      </c>
      <c r="H204" s="22">
        <f t="shared" si="3"/>
        <v>2.2368654759487915E-2</v>
      </c>
    </row>
    <row r="205" spans="1:8" x14ac:dyDescent="0.25">
      <c r="A205" s="24">
        <v>42541</v>
      </c>
      <c r="B205" s="22">
        <v>50.639999000000003</v>
      </c>
      <c r="C205" s="22">
        <v>50.830002</v>
      </c>
      <c r="D205" s="22">
        <v>50.029998999999997</v>
      </c>
      <c r="E205" s="22">
        <v>50.07</v>
      </c>
      <c r="F205" s="22">
        <v>35607900</v>
      </c>
      <c r="G205" s="22">
        <v>49.128121999999998</v>
      </c>
      <c r="H205" s="22">
        <f t="shared" si="3"/>
        <v>-1.1969017663490662E-3</v>
      </c>
    </row>
    <row r="206" spans="1:8" x14ac:dyDescent="0.25">
      <c r="A206" s="24">
        <v>42538</v>
      </c>
      <c r="B206" s="22">
        <v>50.41</v>
      </c>
      <c r="C206" s="22">
        <v>50.43</v>
      </c>
      <c r="D206" s="22">
        <v>49.82</v>
      </c>
      <c r="E206" s="22">
        <v>50.130001</v>
      </c>
      <c r="F206" s="22">
        <v>45710500</v>
      </c>
      <c r="G206" s="22">
        <v>49.186993999999999</v>
      </c>
      <c r="H206" s="22">
        <f t="shared" si="3"/>
        <v>-5.159732084206288E-3</v>
      </c>
    </row>
    <row r="207" spans="1:8" x14ac:dyDescent="0.25">
      <c r="A207" s="24">
        <v>42537</v>
      </c>
      <c r="B207" s="22">
        <v>49.52</v>
      </c>
      <c r="C207" s="22">
        <v>50.470001000000003</v>
      </c>
      <c r="D207" s="22">
        <v>49.509998000000003</v>
      </c>
      <c r="E207" s="22">
        <v>50.389999000000003</v>
      </c>
      <c r="F207" s="22">
        <v>31188600</v>
      </c>
      <c r="G207" s="22">
        <v>49.442101999999998</v>
      </c>
      <c r="H207" s="22">
        <f t="shared" si="3"/>
        <v>1.4087359460574406E-2</v>
      </c>
    </row>
    <row r="208" spans="1:8" x14ac:dyDescent="0.25">
      <c r="A208" s="24">
        <v>42536</v>
      </c>
      <c r="B208" s="22">
        <v>49.779998999999997</v>
      </c>
      <c r="C208" s="22">
        <v>50.119999</v>
      </c>
      <c r="D208" s="22">
        <v>49.689999</v>
      </c>
      <c r="E208" s="22">
        <v>49.689999</v>
      </c>
      <c r="F208" s="22">
        <v>33757600</v>
      </c>
      <c r="G208" s="22">
        <v>48.755268999999998</v>
      </c>
      <c r="H208" s="22">
        <f t="shared" si="3"/>
        <v>-2.8096049961550372E-3</v>
      </c>
    </row>
    <row r="209" spans="1:8" x14ac:dyDescent="0.25">
      <c r="A209" s="24">
        <v>42535</v>
      </c>
      <c r="B209" s="22">
        <v>49.900002000000001</v>
      </c>
      <c r="C209" s="22">
        <v>50.099997999999999</v>
      </c>
      <c r="D209" s="22">
        <v>49.57</v>
      </c>
      <c r="E209" s="22">
        <v>49.830002</v>
      </c>
      <c r="F209" s="22">
        <v>42577100</v>
      </c>
      <c r="G209" s="22">
        <v>48.892637999999998</v>
      </c>
      <c r="H209" s="22">
        <f t="shared" si="3"/>
        <v>-6.1826575933132174E-3</v>
      </c>
    </row>
    <row r="210" spans="1:8" x14ac:dyDescent="0.25">
      <c r="A210" s="24">
        <v>42534</v>
      </c>
      <c r="B210" s="22">
        <v>49.580002</v>
      </c>
      <c r="C210" s="22">
        <v>50.720001000000003</v>
      </c>
      <c r="D210" s="22">
        <v>49.060001</v>
      </c>
      <c r="E210" s="22">
        <v>50.139999000000003</v>
      </c>
      <c r="F210" s="22">
        <v>83217800</v>
      </c>
      <c r="G210" s="22">
        <v>49.196804999999998</v>
      </c>
      <c r="H210" s="22">
        <f t="shared" si="3"/>
        <v>-2.6029526921718091E-2</v>
      </c>
    </row>
    <row r="211" spans="1:8" x14ac:dyDescent="0.25">
      <c r="A211" s="24">
        <v>42531</v>
      </c>
      <c r="B211" s="22">
        <v>51.049999</v>
      </c>
      <c r="C211" s="22">
        <v>52.049999</v>
      </c>
      <c r="D211" s="22">
        <v>51.040000999999997</v>
      </c>
      <c r="E211" s="22">
        <v>51.48</v>
      </c>
      <c r="F211" s="22">
        <v>25833200</v>
      </c>
      <c r="G211" s="22">
        <v>50.511597999999999</v>
      </c>
      <c r="H211" s="22">
        <f t="shared" si="3"/>
        <v>-2.7120989624210591E-3</v>
      </c>
    </row>
    <row r="212" spans="1:8" x14ac:dyDescent="0.25">
      <c r="A212" s="24">
        <v>42530</v>
      </c>
      <c r="B212" s="22">
        <v>52</v>
      </c>
      <c r="C212" s="22">
        <v>52</v>
      </c>
      <c r="D212" s="22">
        <v>51.490001999999997</v>
      </c>
      <c r="E212" s="22">
        <v>51.619999</v>
      </c>
      <c r="F212" s="22">
        <v>20305700</v>
      </c>
      <c r="G212" s="22">
        <v>50.648963000000002</v>
      </c>
      <c r="H212" s="22">
        <f t="shared" si="3"/>
        <v>-8.0707678149681619E-3</v>
      </c>
    </row>
    <row r="213" spans="1:8" x14ac:dyDescent="0.25">
      <c r="A213" s="24">
        <v>42529</v>
      </c>
      <c r="B213" s="22">
        <v>52.02</v>
      </c>
      <c r="C213" s="22">
        <v>52.439999</v>
      </c>
      <c r="D213" s="22">
        <v>51.869999</v>
      </c>
      <c r="E213" s="22">
        <v>52.040000999999997</v>
      </c>
      <c r="F213" s="22">
        <v>21149400</v>
      </c>
      <c r="G213" s="22">
        <v>51.061064999999999</v>
      </c>
      <c r="H213" s="22">
        <f t="shared" si="3"/>
        <v>-1.1515859938317093E-3</v>
      </c>
    </row>
    <row r="214" spans="1:8" x14ac:dyDescent="0.25">
      <c r="A214" s="24">
        <v>42528</v>
      </c>
      <c r="B214" s="22">
        <v>52.240001999999997</v>
      </c>
      <c r="C214" s="22">
        <v>52.73</v>
      </c>
      <c r="D214" s="22">
        <v>52.099997999999999</v>
      </c>
      <c r="E214" s="22">
        <v>52.099997999999999</v>
      </c>
      <c r="F214" s="22">
        <v>20866800</v>
      </c>
      <c r="G214" s="22">
        <v>51.119934000000001</v>
      </c>
      <c r="H214" s="22">
        <f t="shared" si="3"/>
        <v>-5.75530037788127E-4</v>
      </c>
    </row>
    <row r="215" spans="1:8" x14ac:dyDescent="0.25">
      <c r="A215" s="24">
        <v>42527</v>
      </c>
      <c r="B215" s="22">
        <v>51.990001999999997</v>
      </c>
      <c r="C215" s="22">
        <v>52.349997999999999</v>
      </c>
      <c r="D215" s="22">
        <v>51.889999000000003</v>
      </c>
      <c r="E215" s="22">
        <v>52.130001</v>
      </c>
      <c r="F215" s="22">
        <v>18243300</v>
      </c>
      <c r="G215" s="22">
        <v>51.149372</v>
      </c>
      <c r="H215" s="22">
        <f t="shared" si="3"/>
        <v>6.5649701486357763E-3</v>
      </c>
    </row>
    <row r="216" spans="1:8" x14ac:dyDescent="0.25">
      <c r="A216" s="24">
        <v>42524</v>
      </c>
      <c r="B216" s="22">
        <v>52.380001</v>
      </c>
      <c r="C216" s="22">
        <v>52.419998</v>
      </c>
      <c r="D216" s="22">
        <v>51.599997999999999</v>
      </c>
      <c r="E216" s="22">
        <v>51.790000999999997</v>
      </c>
      <c r="F216" s="22">
        <v>23081300</v>
      </c>
      <c r="G216" s="22">
        <v>50.815767999999998</v>
      </c>
      <c r="H216" s="22">
        <f t="shared" si="3"/>
        <v>-1.3147822298836265E-2</v>
      </c>
    </row>
    <row r="217" spans="1:8" x14ac:dyDescent="0.25">
      <c r="A217" s="24">
        <v>42523</v>
      </c>
      <c r="B217" s="22">
        <v>52.639999000000003</v>
      </c>
      <c r="C217" s="22">
        <v>52.740001999999997</v>
      </c>
      <c r="D217" s="22">
        <v>51.84</v>
      </c>
      <c r="E217" s="22">
        <v>52.48</v>
      </c>
      <c r="F217" s="22">
        <v>22840800</v>
      </c>
      <c r="G217" s="22">
        <v>51.492786000000002</v>
      </c>
      <c r="H217" s="22">
        <f t="shared" si="3"/>
        <v>-7.0009299823115441E-3</v>
      </c>
    </row>
    <row r="218" spans="1:8" x14ac:dyDescent="0.25">
      <c r="A218" s="24">
        <v>42522</v>
      </c>
      <c r="B218" s="22">
        <v>52.439999</v>
      </c>
      <c r="C218" s="22">
        <v>52.950001</v>
      </c>
      <c r="D218" s="22">
        <v>52.439999</v>
      </c>
      <c r="E218" s="22">
        <v>52.849997999999999</v>
      </c>
      <c r="F218" s="22">
        <v>25324800</v>
      </c>
      <c r="G218" s="22">
        <v>51.855825000000003</v>
      </c>
      <c r="H218" s="22">
        <f t="shared" si="3"/>
        <v>-2.8302210612636473E-3</v>
      </c>
    </row>
    <row r="219" spans="1:8" x14ac:dyDescent="0.25">
      <c r="A219" s="24">
        <v>42521</v>
      </c>
      <c r="B219" s="22">
        <v>52.259998000000003</v>
      </c>
      <c r="C219" s="22">
        <v>53</v>
      </c>
      <c r="D219" s="22">
        <v>52.080002</v>
      </c>
      <c r="E219" s="22">
        <v>53</v>
      </c>
      <c r="F219" s="22">
        <v>37653100</v>
      </c>
      <c r="G219" s="22">
        <v>52.003005000000002</v>
      </c>
      <c r="H219" s="22">
        <f t="shared" si="3"/>
        <v>1.2996954405849666E-2</v>
      </c>
    </row>
    <row r="220" spans="1:8" x14ac:dyDescent="0.25">
      <c r="A220" s="24">
        <v>42517</v>
      </c>
      <c r="B220" s="22">
        <v>51.919998</v>
      </c>
      <c r="C220" s="22">
        <v>52.32</v>
      </c>
      <c r="D220" s="22">
        <v>51.77</v>
      </c>
      <c r="E220" s="22">
        <v>52.32</v>
      </c>
      <c r="F220" s="22">
        <v>17653700</v>
      </c>
      <c r="G220" s="22">
        <v>51.335796000000002</v>
      </c>
      <c r="H220" s="22">
        <f t="shared" si="3"/>
        <v>8.286757139039801E-3</v>
      </c>
    </row>
    <row r="221" spans="1:8" x14ac:dyDescent="0.25">
      <c r="A221" s="24">
        <v>42516</v>
      </c>
      <c r="B221" s="22">
        <v>51.93</v>
      </c>
      <c r="C221" s="22">
        <v>51.98</v>
      </c>
      <c r="D221" s="22">
        <v>51.360000999999997</v>
      </c>
      <c r="E221" s="22">
        <v>51.889999000000003</v>
      </c>
      <c r="F221" s="22">
        <v>24335200</v>
      </c>
      <c r="G221" s="22">
        <v>50.913885000000001</v>
      </c>
      <c r="H221" s="22">
        <f t="shared" si="3"/>
        <v>-4.4128852267358359E-3</v>
      </c>
    </row>
    <row r="222" spans="1:8" x14ac:dyDescent="0.25">
      <c r="A222" s="24">
        <v>42515</v>
      </c>
      <c r="B222" s="22">
        <v>51.919998</v>
      </c>
      <c r="C222" s="22">
        <v>52.490001999999997</v>
      </c>
      <c r="D222" s="22">
        <v>51.790000999999997</v>
      </c>
      <c r="E222" s="22">
        <v>52.119999</v>
      </c>
      <c r="F222" s="22">
        <v>24040200</v>
      </c>
      <c r="G222" s="22">
        <v>51.139558000000001</v>
      </c>
      <c r="H222" s="22">
        <f t="shared" si="3"/>
        <v>1.0273288003134146E-2</v>
      </c>
    </row>
    <row r="223" spans="1:8" x14ac:dyDescent="0.25">
      <c r="A223" s="24">
        <v>42514</v>
      </c>
      <c r="B223" s="22">
        <v>50.700001</v>
      </c>
      <c r="C223" s="22">
        <v>51.709999000000003</v>
      </c>
      <c r="D223" s="22">
        <v>50.400002000000001</v>
      </c>
      <c r="E223" s="22">
        <v>51.59</v>
      </c>
      <c r="F223" s="22">
        <v>34757900</v>
      </c>
      <c r="G223" s="22">
        <v>50.619529</v>
      </c>
      <c r="H223" s="22">
        <f t="shared" si="3"/>
        <v>3.1181322903868672E-2</v>
      </c>
    </row>
    <row r="224" spans="1:8" x14ac:dyDescent="0.25">
      <c r="A224" s="24">
        <v>42513</v>
      </c>
      <c r="B224" s="22">
        <v>50.599997999999999</v>
      </c>
      <c r="C224" s="22">
        <v>50.68</v>
      </c>
      <c r="D224" s="22">
        <v>49.98</v>
      </c>
      <c r="E224" s="22">
        <v>50.029998999999997</v>
      </c>
      <c r="F224" s="22">
        <v>26118700</v>
      </c>
      <c r="G224" s="22">
        <v>49.088873</v>
      </c>
      <c r="H224" s="22">
        <f t="shared" si="3"/>
        <v>-1.1655484869213476E-2</v>
      </c>
    </row>
    <row r="225" spans="1:8" x14ac:dyDescent="0.25">
      <c r="A225" s="24">
        <v>42510</v>
      </c>
      <c r="B225" s="22">
        <v>50.48</v>
      </c>
      <c r="C225" s="22">
        <v>51.220001000000003</v>
      </c>
      <c r="D225" s="22">
        <v>50.400002000000001</v>
      </c>
      <c r="E225" s="22">
        <v>50.619999</v>
      </c>
      <c r="F225" s="22">
        <v>23905800</v>
      </c>
      <c r="G225" s="22">
        <v>49.667774999999999</v>
      </c>
      <c r="H225" s="22">
        <f t="shared" si="3"/>
        <v>5.9618314056800589E-3</v>
      </c>
    </row>
    <row r="226" spans="1:8" x14ac:dyDescent="0.25">
      <c r="A226" s="24">
        <v>42509</v>
      </c>
      <c r="B226" s="22">
        <v>50.470001000000003</v>
      </c>
      <c r="C226" s="22">
        <v>50.619999</v>
      </c>
      <c r="D226" s="22">
        <v>49.82</v>
      </c>
      <c r="E226" s="22">
        <v>50.32</v>
      </c>
      <c r="F226" s="22">
        <v>23842400</v>
      </c>
      <c r="G226" s="22">
        <v>49.373418999999998</v>
      </c>
      <c r="H226" s="22">
        <f t="shared" si="3"/>
        <v>-9.643800744342455E-3</v>
      </c>
    </row>
    <row r="227" spans="1:8" x14ac:dyDescent="0.25">
      <c r="A227" s="24">
        <v>42508</v>
      </c>
      <c r="B227" s="22">
        <v>50.48</v>
      </c>
      <c r="C227" s="22">
        <v>51.139999000000003</v>
      </c>
      <c r="D227" s="22">
        <v>50.299999</v>
      </c>
      <c r="E227" s="22">
        <v>50.810001</v>
      </c>
      <c r="F227" s="22">
        <v>24907500</v>
      </c>
      <c r="G227" s="22">
        <v>49.854202999999998</v>
      </c>
      <c r="H227" s="22">
        <f t="shared" si="3"/>
        <v>5.9394861279120177E-3</v>
      </c>
    </row>
    <row r="228" spans="1:8" x14ac:dyDescent="0.25">
      <c r="A228" s="24">
        <v>42507</v>
      </c>
      <c r="B228" s="22">
        <v>51.720001000000003</v>
      </c>
      <c r="C228" s="22">
        <v>51.73</v>
      </c>
      <c r="D228" s="22">
        <v>50.360000999999997</v>
      </c>
      <c r="E228" s="22">
        <v>50.509998000000003</v>
      </c>
      <c r="F228" s="22">
        <v>27803500</v>
      </c>
      <c r="G228" s="22">
        <v>49.559843000000001</v>
      </c>
      <c r="H228" s="22">
        <f t="shared" si="3"/>
        <v>-1.8651696424128505E-2</v>
      </c>
    </row>
    <row r="229" spans="1:8" x14ac:dyDescent="0.25">
      <c r="A229" s="24">
        <v>42506</v>
      </c>
      <c r="B229" s="22">
        <v>50.799999</v>
      </c>
      <c r="C229" s="22">
        <v>51.959999000000003</v>
      </c>
      <c r="D229" s="22">
        <v>50.75</v>
      </c>
      <c r="E229" s="22">
        <v>51.830002</v>
      </c>
      <c r="F229" s="22">
        <v>20032000</v>
      </c>
      <c r="G229" s="22">
        <v>50.501787</v>
      </c>
      <c r="H229" s="22">
        <f t="shared" si="3"/>
        <v>1.4682845376224815E-2</v>
      </c>
    </row>
    <row r="230" spans="1:8" x14ac:dyDescent="0.25">
      <c r="A230" s="24">
        <v>42503</v>
      </c>
      <c r="B230" s="22">
        <v>51.439999</v>
      </c>
      <c r="C230" s="22">
        <v>51.900002000000001</v>
      </c>
      <c r="D230" s="22">
        <v>51.040000999999997</v>
      </c>
      <c r="E230" s="22">
        <v>51.080002</v>
      </c>
      <c r="F230" s="22">
        <v>22592300</v>
      </c>
      <c r="G230" s="22">
        <v>49.771006999999997</v>
      </c>
      <c r="H230" s="22">
        <f t="shared" si="3"/>
        <v>-8.3478209516864004E-3</v>
      </c>
    </row>
    <row r="231" spans="1:8" x14ac:dyDescent="0.25">
      <c r="A231" s="24">
        <v>42502</v>
      </c>
      <c r="B231" s="22">
        <v>51.200001</v>
      </c>
      <c r="C231" s="22">
        <v>51.810001</v>
      </c>
      <c r="D231" s="22">
        <v>50.919998</v>
      </c>
      <c r="E231" s="22">
        <v>51.509998000000003</v>
      </c>
      <c r="F231" s="22">
        <v>24102800</v>
      </c>
      <c r="G231" s="22">
        <v>50.189984000000003</v>
      </c>
      <c r="H231" s="22">
        <f t="shared" si="3"/>
        <v>9.0107361269423786E-3</v>
      </c>
    </row>
    <row r="232" spans="1:8" x14ac:dyDescent="0.25">
      <c r="A232" s="24">
        <v>42501</v>
      </c>
      <c r="B232" s="22">
        <v>51.130001</v>
      </c>
      <c r="C232" s="22">
        <v>51.779998999999997</v>
      </c>
      <c r="D232" s="22">
        <v>51</v>
      </c>
      <c r="E232" s="22">
        <v>51.049999</v>
      </c>
      <c r="F232" s="22">
        <v>24039100</v>
      </c>
      <c r="G232" s="22">
        <v>49.741773999999999</v>
      </c>
      <c r="H232" s="22">
        <f t="shared" si="3"/>
        <v>5.8800049717840617E-4</v>
      </c>
    </row>
    <row r="233" spans="1:8" x14ac:dyDescent="0.25">
      <c r="A233" s="24">
        <v>42500</v>
      </c>
      <c r="B233" s="22">
        <v>50.330002</v>
      </c>
      <c r="C233" s="22">
        <v>51.099997999999999</v>
      </c>
      <c r="D233" s="22">
        <v>50.189999</v>
      </c>
      <c r="E233" s="22">
        <v>51.02</v>
      </c>
      <c r="F233" s="22">
        <v>22891000</v>
      </c>
      <c r="G233" s="22">
        <v>49.712542999999997</v>
      </c>
      <c r="H233" s="22">
        <f t="shared" si="3"/>
        <v>1.8973438109026325E-2</v>
      </c>
    </row>
    <row r="234" spans="1:8" x14ac:dyDescent="0.25">
      <c r="A234" s="24">
        <v>42499</v>
      </c>
      <c r="B234" s="22">
        <v>50.490001999999997</v>
      </c>
      <c r="C234" s="22">
        <v>50.59</v>
      </c>
      <c r="D234" s="22">
        <v>50</v>
      </c>
      <c r="E234" s="22">
        <v>50.07</v>
      </c>
      <c r="F234" s="22">
        <v>17951600</v>
      </c>
      <c r="G234" s="22">
        <v>48.786887999999998</v>
      </c>
      <c r="H234" s="22">
        <f t="shared" si="3"/>
        <v>-6.3504549520845763E-3</v>
      </c>
    </row>
    <row r="235" spans="1:8" x14ac:dyDescent="0.25">
      <c r="A235" s="24">
        <v>42496</v>
      </c>
      <c r="B235" s="22">
        <v>49.919998</v>
      </c>
      <c r="C235" s="22">
        <v>50.389999000000003</v>
      </c>
      <c r="D235" s="22">
        <v>49.66</v>
      </c>
      <c r="E235" s="22">
        <v>50.389999000000003</v>
      </c>
      <c r="F235" s="22">
        <v>24715600</v>
      </c>
      <c r="G235" s="22">
        <v>49.098686999999998</v>
      </c>
      <c r="H235" s="22">
        <f t="shared" si="3"/>
        <v>9.0108309831246087E-3</v>
      </c>
    </row>
    <row r="236" spans="1:8" x14ac:dyDescent="0.25">
      <c r="A236" s="24">
        <v>42495</v>
      </c>
      <c r="B236" s="22">
        <v>49.869999</v>
      </c>
      <c r="C236" s="22">
        <v>50.299999</v>
      </c>
      <c r="D236" s="22">
        <v>49.73</v>
      </c>
      <c r="E236" s="22">
        <v>49.939999</v>
      </c>
      <c r="F236" s="22">
        <v>25390700</v>
      </c>
      <c r="G236" s="22">
        <v>48.660218</v>
      </c>
      <c r="H236" s="22">
        <f t="shared" si="3"/>
        <v>1.4036463441769718E-3</v>
      </c>
    </row>
    <row r="237" spans="1:8" x14ac:dyDescent="0.25">
      <c r="A237" s="24">
        <v>42494</v>
      </c>
      <c r="B237" s="22">
        <v>49.84</v>
      </c>
      <c r="C237" s="22">
        <v>50.060001</v>
      </c>
      <c r="D237" s="22">
        <v>49.459999000000003</v>
      </c>
      <c r="E237" s="22">
        <v>49.869999</v>
      </c>
      <c r="F237" s="22">
        <v>24257600</v>
      </c>
      <c r="G237" s="22">
        <v>48.592011999999997</v>
      </c>
      <c r="H237" s="22">
        <f t="shared" si="3"/>
        <v>1.8079420927442453E-3</v>
      </c>
    </row>
    <row r="238" spans="1:8" x14ac:dyDescent="0.25">
      <c r="A238" s="24">
        <v>42493</v>
      </c>
      <c r="B238" s="22">
        <v>50.34</v>
      </c>
      <c r="C238" s="22">
        <v>50.41</v>
      </c>
      <c r="D238" s="22">
        <v>49.599997999999999</v>
      </c>
      <c r="E238" s="22">
        <v>49.779998999999997</v>
      </c>
      <c r="F238" s="22">
        <v>26460200</v>
      </c>
      <c r="G238" s="22">
        <v>48.504319000000002</v>
      </c>
      <c r="H238" s="22">
        <f t="shared" si="3"/>
        <v>-1.6399938758604356E-2</v>
      </c>
    </row>
    <row r="239" spans="1:8" x14ac:dyDescent="0.25">
      <c r="A239" s="24">
        <v>42492</v>
      </c>
      <c r="B239" s="22">
        <v>50</v>
      </c>
      <c r="C239" s="22">
        <v>50.75</v>
      </c>
      <c r="D239" s="22">
        <v>49.779998999999997</v>
      </c>
      <c r="E239" s="22">
        <v>50.610000999999997</v>
      </c>
      <c r="F239" s="22">
        <v>33114500</v>
      </c>
      <c r="G239" s="22">
        <v>49.313049999999997</v>
      </c>
      <c r="H239" s="22">
        <f t="shared" si="3"/>
        <v>1.4838611745486072E-2</v>
      </c>
    </row>
    <row r="240" spans="1:8" x14ac:dyDescent="0.25">
      <c r="A240" s="24">
        <v>42489</v>
      </c>
      <c r="B240" s="22">
        <v>49.349997999999999</v>
      </c>
      <c r="C240" s="22">
        <v>50.25</v>
      </c>
      <c r="D240" s="22">
        <v>49.349997999999999</v>
      </c>
      <c r="E240" s="22">
        <v>49.869999</v>
      </c>
      <c r="F240" s="22">
        <v>48411700</v>
      </c>
      <c r="G240" s="22">
        <v>48.592011999999997</v>
      </c>
      <c r="H240" s="22">
        <f t="shared" si="3"/>
        <v>-6.0125978671962514E-4</v>
      </c>
    </row>
    <row r="241" spans="1:8" x14ac:dyDescent="0.25">
      <c r="A241" s="24">
        <v>42488</v>
      </c>
      <c r="B241" s="22">
        <v>50.619999</v>
      </c>
      <c r="C241" s="22">
        <v>50.77</v>
      </c>
      <c r="D241" s="22">
        <v>49.560001</v>
      </c>
      <c r="E241" s="22">
        <v>49.900002000000001</v>
      </c>
      <c r="F241" s="22">
        <v>43134800</v>
      </c>
      <c r="G241" s="22">
        <v>48.621245999999999</v>
      </c>
      <c r="H241" s="22">
        <f t="shared" si="3"/>
        <v>-2.0416124302986081E-2</v>
      </c>
    </row>
    <row r="242" spans="1:8" x14ac:dyDescent="0.25">
      <c r="A242" s="24">
        <v>42487</v>
      </c>
      <c r="B242" s="22">
        <v>51.48</v>
      </c>
      <c r="C242" s="22">
        <v>51.5</v>
      </c>
      <c r="D242" s="22">
        <v>50.549999</v>
      </c>
      <c r="E242" s="22">
        <v>50.939999</v>
      </c>
      <c r="F242" s="22">
        <v>43369300</v>
      </c>
      <c r="G242" s="22">
        <v>49.634591999999998</v>
      </c>
      <c r="H242" s="22">
        <f t="shared" si="3"/>
        <v>-9.7200660016476814E-3</v>
      </c>
    </row>
    <row r="243" spans="1:8" x14ac:dyDescent="0.25">
      <c r="A243" s="24">
        <v>42486</v>
      </c>
      <c r="B243" s="22">
        <v>52.259998000000003</v>
      </c>
      <c r="C243" s="22">
        <v>52.349997999999999</v>
      </c>
      <c r="D243" s="22">
        <v>51.09</v>
      </c>
      <c r="E243" s="22">
        <v>51.439999</v>
      </c>
      <c r="F243" s="22">
        <v>33532600</v>
      </c>
      <c r="G243" s="22">
        <v>50.121778999999997</v>
      </c>
      <c r="H243" s="22">
        <f t="shared" si="3"/>
        <v>-1.2857449562735273E-2</v>
      </c>
    </row>
    <row r="244" spans="1:8" x14ac:dyDescent="0.25">
      <c r="A244" s="24">
        <v>42485</v>
      </c>
      <c r="B244" s="22">
        <v>51.779998999999997</v>
      </c>
      <c r="C244" s="22">
        <v>52.130001</v>
      </c>
      <c r="D244" s="22">
        <v>51.630001</v>
      </c>
      <c r="E244" s="22">
        <v>52.110000999999997</v>
      </c>
      <c r="F244" s="22">
        <v>33226900</v>
      </c>
      <c r="G244" s="22">
        <v>50.774611</v>
      </c>
      <c r="H244" s="22">
        <f t="shared" si="3"/>
        <v>6.3731508408230416E-3</v>
      </c>
    </row>
    <row r="245" spans="1:8" x14ac:dyDescent="0.25">
      <c r="A245" s="24">
        <v>42482</v>
      </c>
      <c r="B245" s="22">
        <v>51.91</v>
      </c>
      <c r="C245" s="22">
        <v>52.43</v>
      </c>
      <c r="D245" s="22">
        <v>50.77</v>
      </c>
      <c r="E245" s="22">
        <v>51.779998999999997</v>
      </c>
      <c r="F245" s="22">
        <v>126834100</v>
      </c>
      <c r="G245" s="22">
        <v>50.453066</v>
      </c>
      <c r="H245" s="22">
        <f t="shared" si="3"/>
        <v>-7.1710282285959923E-2</v>
      </c>
    </row>
    <row r="246" spans="1:8" x14ac:dyDescent="0.25">
      <c r="A246" s="24">
        <v>42481</v>
      </c>
      <c r="B246" s="22">
        <v>55.799999</v>
      </c>
      <c r="C246" s="22">
        <v>56.23</v>
      </c>
      <c r="D246" s="22">
        <v>55.419998</v>
      </c>
      <c r="E246" s="22">
        <v>55.779998999999997</v>
      </c>
      <c r="F246" s="22">
        <v>38909100</v>
      </c>
      <c r="G246" s="22">
        <v>54.350560000000002</v>
      </c>
      <c r="H246" s="22">
        <f t="shared" si="3"/>
        <v>3.4178441227579901E-3</v>
      </c>
    </row>
    <row r="247" spans="1:8" x14ac:dyDescent="0.25">
      <c r="A247" s="24">
        <v>42480</v>
      </c>
      <c r="B247" s="22">
        <v>56.290000999999997</v>
      </c>
      <c r="C247" s="22">
        <v>56.5</v>
      </c>
      <c r="D247" s="22">
        <v>55.490001999999997</v>
      </c>
      <c r="E247" s="22">
        <v>55.59</v>
      </c>
      <c r="F247" s="22">
        <v>36195700</v>
      </c>
      <c r="G247" s="22">
        <v>54.165430999999998</v>
      </c>
      <c r="H247" s="22">
        <f t="shared" si="3"/>
        <v>-1.4186896119203353E-2</v>
      </c>
    </row>
    <row r="248" spans="1:8" x14ac:dyDescent="0.25">
      <c r="A248" s="24">
        <v>42479</v>
      </c>
      <c r="B248" s="22">
        <v>56.630001</v>
      </c>
      <c r="C248" s="22">
        <v>56.77</v>
      </c>
      <c r="D248" s="22">
        <v>55.68</v>
      </c>
      <c r="E248" s="22">
        <v>56.389999000000003</v>
      </c>
      <c r="F248" s="22">
        <v>29596800</v>
      </c>
      <c r="G248" s="22">
        <v>54.944929000000002</v>
      </c>
      <c r="H248" s="22">
        <f t="shared" si="3"/>
        <v>-1.2398130010223274E-3</v>
      </c>
    </row>
    <row r="249" spans="1:8" x14ac:dyDescent="0.25">
      <c r="A249" s="24">
        <v>42478</v>
      </c>
      <c r="B249" s="22">
        <v>55.490001999999997</v>
      </c>
      <c r="C249" s="22">
        <v>56.59</v>
      </c>
      <c r="D249" s="22">
        <v>55.209999000000003</v>
      </c>
      <c r="E249" s="22">
        <v>56.459999000000003</v>
      </c>
      <c r="F249" s="22">
        <v>23150300</v>
      </c>
      <c r="G249" s="22">
        <v>55.013134999999998</v>
      </c>
      <c r="H249" s="22">
        <f t="shared" si="3"/>
        <v>1.4555225414095065E-2</v>
      </c>
    </row>
    <row r="250" spans="1:8" x14ac:dyDescent="0.25">
      <c r="A250" s="24">
        <v>42475</v>
      </c>
      <c r="B250" s="22">
        <v>55.299999</v>
      </c>
      <c r="C250" s="22">
        <v>55.919998</v>
      </c>
      <c r="D250" s="22">
        <v>55.110000999999997</v>
      </c>
      <c r="E250" s="22">
        <v>55.650002000000001</v>
      </c>
      <c r="F250" s="22">
        <v>28793800</v>
      </c>
      <c r="G250" s="22">
        <v>54.223894000000001</v>
      </c>
      <c r="H250" s="22">
        <f t="shared" si="3"/>
        <v>5.2384512245481976E-3</v>
      </c>
    </row>
    <row r="251" spans="1:8" x14ac:dyDescent="0.25">
      <c r="A251" s="24">
        <v>42474</v>
      </c>
      <c r="B251" s="22">
        <v>55.220001000000003</v>
      </c>
      <c r="C251" s="22">
        <v>55.580002</v>
      </c>
      <c r="D251" s="22">
        <v>55.07</v>
      </c>
      <c r="E251" s="22">
        <v>55.360000999999997</v>
      </c>
      <c r="F251" s="22">
        <v>20877100</v>
      </c>
      <c r="G251" s="22">
        <v>53.941324999999999</v>
      </c>
      <c r="H251" s="22">
        <f t="shared" si="3"/>
        <v>1.807104516632048E-4</v>
      </c>
    </row>
    <row r="252" spans="1:8" x14ac:dyDescent="0.25">
      <c r="A252" s="24">
        <v>42473</v>
      </c>
      <c r="B252" s="22">
        <v>55.119999</v>
      </c>
      <c r="C252" s="22">
        <v>55.439999</v>
      </c>
      <c r="D252" s="22">
        <v>54.889999000000003</v>
      </c>
      <c r="E252" s="22">
        <v>55.349997999999999</v>
      </c>
      <c r="F252" s="22">
        <v>20818000</v>
      </c>
      <c r="G252" s="22">
        <v>53.931578999999999</v>
      </c>
      <c r="H252" s="22">
        <f t="shared" si="3"/>
        <v>1.2808716157277692E-2</v>
      </c>
    </row>
    <row r="253" spans="1:8" x14ac:dyDescent="0.25">
      <c r="A253" s="24">
        <v>42472</v>
      </c>
      <c r="B253" s="22">
        <v>54.369999</v>
      </c>
      <c r="C253" s="22">
        <v>54.779998999999997</v>
      </c>
      <c r="D253" s="22">
        <v>53.759998000000003</v>
      </c>
      <c r="E253" s="22">
        <v>54.650002000000001</v>
      </c>
      <c r="F253" s="22">
        <v>24944300</v>
      </c>
      <c r="G253" s="22">
        <v>53.249521000000001</v>
      </c>
      <c r="H253" s="22">
        <f t="shared" si="3"/>
        <v>6.2603563074308793E-3</v>
      </c>
    </row>
    <row r="254" spans="1:8" x14ac:dyDescent="0.25">
      <c r="A254" s="24">
        <v>42471</v>
      </c>
      <c r="B254" s="22">
        <v>54.490001999999997</v>
      </c>
      <c r="C254" s="22">
        <v>55.150002000000001</v>
      </c>
      <c r="D254" s="22">
        <v>54.299999</v>
      </c>
      <c r="E254" s="22">
        <v>54.310001</v>
      </c>
      <c r="F254" s="22">
        <v>21414200</v>
      </c>
      <c r="G254" s="22">
        <v>52.918233999999998</v>
      </c>
      <c r="H254" s="22">
        <f t="shared" si="3"/>
        <v>-2.0212572794343331E-3</v>
      </c>
    </row>
    <row r="255" spans="1:8" x14ac:dyDescent="0.25">
      <c r="A255" s="24">
        <v>42468</v>
      </c>
      <c r="B255" s="22">
        <v>54.669998</v>
      </c>
      <c r="C255" s="22">
        <v>55.279998999999997</v>
      </c>
      <c r="D255" s="22">
        <v>54.32</v>
      </c>
      <c r="E255" s="22">
        <v>54.419998</v>
      </c>
      <c r="F255" s="22">
        <v>22167200</v>
      </c>
      <c r="G255" s="22">
        <v>53.025412000000003</v>
      </c>
      <c r="H255" s="22">
        <f t="shared" si="3"/>
        <v>-7.3448506999620382E-4</v>
      </c>
    </row>
    <row r="256" spans="1:8" x14ac:dyDescent="0.25">
      <c r="A256" s="24">
        <v>42467</v>
      </c>
      <c r="B256" s="22">
        <v>54.869999</v>
      </c>
      <c r="C256" s="22">
        <v>54.91</v>
      </c>
      <c r="D256" s="22">
        <v>54.23</v>
      </c>
      <c r="E256" s="22">
        <v>54.459999000000003</v>
      </c>
      <c r="F256" s="22">
        <v>19225100</v>
      </c>
      <c r="G256" s="22">
        <v>53.064387000000004</v>
      </c>
      <c r="H256" s="22">
        <f t="shared" si="3"/>
        <v>-1.1973882815639296E-2</v>
      </c>
    </row>
    <row r="257" spans="1:8" x14ac:dyDescent="0.25">
      <c r="A257" s="24">
        <v>42466</v>
      </c>
      <c r="B257" s="22">
        <v>54.360000999999997</v>
      </c>
      <c r="C257" s="22">
        <v>55.200001</v>
      </c>
      <c r="D257" s="22">
        <v>54.209999000000003</v>
      </c>
      <c r="E257" s="22">
        <v>55.119999</v>
      </c>
      <c r="F257" s="22">
        <v>21188700</v>
      </c>
      <c r="G257" s="22">
        <v>53.707473999999998</v>
      </c>
      <c r="H257" s="22">
        <f t="shared" ref="H257" si="4">(G257-G258)/G258</f>
        <v>1.02638872813757E-2</v>
      </c>
    </row>
    <row r="258" spans="1:8" x14ac:dyDescent="0.25">
      <c r="A258" s="24">
        <v>42465</v>
      </c>
      <c r="B258" s="22">
        <v>55.189999</v>
      </c>
      <c r="C258" s="22">
        <v>55.299999</v>
      </c>
      <c r="D258" s="22">
        <v>54.459999000000003</v>
      </c>
      <c r="E258" s="22">
        <v>54.560001</v>
      </c>
      <c r="F258" s="22">
        <v>19272300</v>
      </c>
      <c r="G258" s="22">
        <v>53.161827000000002</v>
      </c>
      <c r="H258" s="22">
        <v>0</v>
      </c>
    </row>
  </sheetData>
  <mergeCells count="11">
    <mergeCell ref="M44:N44"/>
    <mergeCell ref="J44:K44"/>
    <mergeCell ref="J34:T34"/>
    <mergeCell ref="A4:G4"/>
    <mergeCell ref="J24:P24"/>
    <mergeCell ref="J4:M4"/>
    <mergeCell ref="J31:T31"/>
    <mergeCell ref="J32:L32"/>
    <mergeCell ref="M32:T32"/>
    <mergeCell ref="J33:L33"/>
    <mergeCell ref="M33:T33"/>
  </mergeCells>
  <pageMargins left="0.7" right="0.7" top="0.75" bottom="0.75" header="0.3" footer="0.3"/>
  <pageSetup orientation="portrait" verticalDpi="0" r:id="rId1"/>
  <drawing r:id="rId2"/>
  <extLst>
    <ext xmlns:x14="http://schemas.microsoft.com/office/spreadsheetml/2009/9/main" uri="{05C60535-1F16-4fd2-B633-F4F36F0B64E0}">
      <x14:sparklineGroups xmlns:xm="http://schemas.microsoft.com/office/excel/2006/main">
        <x14:sparklineGroup displayEmptyCellsAs="gap">
          <x14:colorSeries rgb="FF376092"/>
          <x14:colorNegative rgb="FFD00000"/>
          <x14:colorAxis rgb="FF000000"/>
          <x14:colorMarkers rgb="FFD00000"/>
          <x14:colorFirst rgb="FFD00000"/>
          <x14:colorLast rgb="FFD00000"/>
          <x14:colorHigh rgb="FFD00000"/>
          <x14:colorLow rgb="FFD00000"/>
          <x14:sparklines>
            <x14:sparkline>
              <xm:f>'Microsoft stock price'!I6:I258</xm:f>
              <xm:sqref>L15</xm:sqref>
            </x14:sparkline>
          </x14:sparklines>
        </x14:sparklineGroup>
      </x14:sparklineGroup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0:L52"/>
  <sheetViews>
    <sheetView topLeftCell="A22" workbookViewId="0">
      <selection activeCell="C40" sqref="C40"/>
    </sheetView>
  </sheetViews>
  <sheetFormatPr defaultRowHeight="15" x14ac:dyDescent="0.25"/>
  <cols>
    <col min="1" max="1" width="16.140625" customWidth="1"/>
    <col min="5" max="5" width="26.42578125" customWidth="1"/>
  </cols>
  <sheetData>
    <row r="10" spans="1:1" x14ac:dyDescent="0.25">
      <c r="A10" s="28"/>
    </row>
    <row r="11" spans="1:1" ht="16.5" x14ac:dyDescent="0.25">
      <c r="A11" s="29"/>
    </row>
    <row r="12" spans="1:1" ht="16.5" x14ac:dyDescent="0.25">
      <c r="A12" s="29"/>
    </row>
    <row r="13" spans="1:1" ht="16.5" x14ac:dyDescent="0.25">
      <c r="A13" s="29"/>
    </row>
    <row r="14" spans="1:1" ht="16.5" x14ac:dyDescent="0.25">
      <c r="A14" s="29"/>
    </row>
    <row r="22" spans="1:12" x14ac:dyDescent="0.25">
      <c r="H22" s="3"/>
      <c r="I22" s="3"/>
      <c r="J22" s="3"/>
      <c r="K22" s="3"/>
      <c r="L22" s="3"/>
    </row>
    <row r="23" spans="1:12" x14ac:dyDescent="0.25">
      <c r="A23" s="6" t="s">
        <v>35</v>
      </c>
      <c r="B23" s="7"/>
      <c r="E23" s="31" t="s">
        <v>42</v>
      </c>
      <c r="F23" s="32"/>
      <c r="G23" s="32"/>
      <c r="H23" s="18"/>
      <c r="I23" s="18"/>
      <c r="J23" s="18"/>
      <c r="K23" s="18"/>
      <c r="L23" s="3"/>
    </row>
    <row r="24" spans="1:12" x14ac:dyDescent="0.25">
      <c r="A24" s="7" t="s">
        <v>39</v>
      </c>
      <c r="B24" s="43">
        <f>'Microsoft stock price'!L6</f>
        <v>65.730002999999996</v>
      </c>
      <c r="E24" s="32" t="s">
        <v>43</v>
      </c>
      <c r="F24" s="32">
        <f>Time_to_Maturity/Number_of_Steps</f>
        <v>0.2</v>
      </c>
      <c r="G24" s="32"/>
      <c r="H24" s="18"/>
      <c r="I24" s="18"/>
      <c r="J24" s="18"/>
      <c r="K24" s="18"/>
      <c r="L24" s="18"/>
    </row>
    <row r="25" spans="1:12" x14ac:dyDescent="0.25">
      <c r="A25" s="7" t="s">
        <v>40</v>
      </c>
      <c r="B25" s="7">
        <f>Stock_Price</f>
        <v>65.730002999999996</v>
      </c>
      <c r="E25" s="32" t="s">
        <v>44</v>
      </c>
      <c r="F25" s="32">
        <f>EXP(Volatility*SQRT(Time_Interval))</f>
        <v>1.0851811983612518</v>
      </c>
      <c r="G25" s="33" t="s">
        <v>45</v>
      </c>
      <c r="H25" s="18"/>
      <c r="I25" s="18"/>
      <c r="J25" s="18"/>
      <c r="K25" s="18"/>
      <c r="L25" s="18"/>
    </row>
    <row r="26" spans="1:12" x14ac:dyDescent="0.25">
      <c r="A26" s="7" t="s">
        <v>41</v>
      </c>
      <c r="B26" s="7">
        <f>'Microsoft stock price'!J6</f>
        <v>1E-3</v>
      </c>
      <c r="E26" s="32" t="s">
        <v>44</v>
      </c>
      <c r="F26" s="32">
        <f>1/Up_movement</f>
        <v>0.92150509196999986</v>
      </c>
      <c r="G26" s="33" t="s">
        <v>46</v>
      </c>
      <c r="H26" s="18"/>
      <c r="I26" s="18"/>
      <c r="J26" s="18"/>
      <c r="K26" s="18"/>
      <c r="L26" s="18"/>
    </row>
    <row r="27" spans="1:12" x14ac:dyDescent="0.25">
      <c r="A27" s="7" t="s">
        <v>29</v>
      </c>
      <c r="B27" s="7">
        <f>'Microsoft stock price'!M6</f>
        <v>0.18279179561949035</v>
      </c>
      <c r="E27" s="32" t="s">
        <v>47</v>
      </c>
      <c r="F27" s="34">
        <f>(EXP(Interest_Rate*Time_Interval)-Down_movement)/(Up_movement-Down_movement)</f>
        <v>0.48079667684189015</v>
      </c>
      <c r="G27" s="32"/>
      <c r="H27" s="18"/>
      <c r="I27" s="18"/>
      <c r="J27" s="18"/>
      <c r="K27" s="18"/>
      <c r="L27" s="3"/>
    </row>
    <row r="28" spans="1:12" x14ac:dyDescent="0.25">
      <c r="A28" s="7" t="s">
        <v>36</v>
      </c>
      <c r="B28" s="7">
        <f>'Microsoft stock price'!K6</f>
        <v>1</v>
      </c>
      <c r="E28" s="32" t="s">
        <v>48</v>
      </c>
      <c r="F28" s="32">
        <f>EXP(-Interest_Rate*Time_Interval)</f>
        <v>0.99980001999866674</v>
      </c>
      <c r="G28" s="32"/>
      <c r="H28" s="18"/>
      <c r="I28" s="18"/>
      <c r="J28" s="18"/>
      <c r="K28" s="18"/>
      <c r="L28" s="3"/>
    </row>
    <row r="29" spans="1:12" x14ac:dyDescent="0.25">
      <c r="A29" s="7" t="s">
        <v>37</v>
      </c>
      <c r="B29" s="7">
        <v>5</v>
      </c>
      <c r="D29" s="18"/>
      <c r="E29" s="30"/>
      <c r="F29" s="18"/>
      <c r="G29" s="18"/>
      <c r="H29" s="18"/>
      <c r="I29" s="18"/>
      <c r="J29" s="18"/>
      <c r="K29" s="18"/>
      <c r="L29" s="3"/>
    </row>
    <row r="30" spans="1:12" x14ac:dyDescent="0.25">
      <c r="A30" s="7" t="s">
        <v>38</v>
      </c>
      <c r="B30" s="7">
        <v>0</v>
      </c>
      <c r="E30" s="15" t="s">
        <v>49</v>
      </c>
      <c r="F30" s="15">
        <v>0</v>
      </c>
      <c r="G30" s="15">
        <v>1</v>
      </c>
      <c r="H30" s="15">
        <v>2</v>
      </c>
      <c r="I30" s="15">
        <v>3</v>
      </c>
      <c r="J30" s="15">
        <v>4</v>
      </c>
      <c r="K30" s="15">
        <v>5</v>
      </c>
    </row>
    <row r="31" spans="1:12" x14ac:dyDescent="0.25">
      <c r="E31" s="15" t="s">
        <v>50</v>
      </c>
      <c r="F31" s="15">
        <f>F30*$B$16</f>
        <v>0</v>
      </c>
      <c r="G31" s="15">
        <f>G30*Time_Interval</f>
        <v>0.2</v>
      </c>
      <c r="H31" s="15">
        <f>H30*Time_Interval</f>
        <v>0.4</v>
      </c>
      <c r="I31" s="15">
        <f>I30*Time_Interval</f>
        <v>0.60000000000000009</v>
      </c>
      <c r="J31" s="15">
        <f>J30*Time_Interval</f>
        <v>0.8</v>
      </c>
      <c r="K31" s="15">
        <f>K30*Time_Interval</f>
        <v>1</v>
      </c>
    </row>
    <row r="32" spans="1:12" ht="31.5" customHeight="1" x14ac:dyDescent="0.25">
      <c r="A32" s="59" t="s">
        <v>80</v>
      </c>
      <c r="B32" s="60"/>
      <c r="E32" s="36"/>
      <c r="F32" s="36"/>
      <c r="G32" s="36"/>
      <c r="H32" s="36"/>
      <c r="I32" s="36"/>
      <c r="J32" s="36"/>
      <c r="K32" s="36"/>
    </row>
    <row r="33" spans="1:11" x14ac:dyDescent="0.25">
      <c r="A33" s="23" t="s">
        <v>33</v>
      </c>
      <c r="B33" s="23" t="s">
        <v>34</v>
      </c>
      <c r="E33" s="15" t="s">
        <v>51</v>
      </c>
      <c r="F33" s="15">
        <f>Stock_Price</f>
        <v>65.730002999999996</v>
      </c>
      <c r="G33" s="15">
        <f>F33*Up_movement</f>
        <v>71.328963423828668</v>
      </c>
      <c r="H33" s="15">
        <f>G33*Up_movement</f>
        <v>77.4048500061363</v>
      </c>
      <c r="I33" s="15">
        <f>H33*Up_movement</f>
        <v>83.998287888631936</v>
      </c>
      <c r="J33" s="15">
        <f>I33*Up_movement</f>
        <v>91.15336271127903</v>
      </c>
      <c r="K33" s="15">
        <f>J33*Up_movement</f>
        <v>98.917915381683628</v>
      </c>
    </row>
    <row r="34" spans="1:11" x14ac:dyDescent="0.25">
      <c r="A34" s="35">
        <f>F40</f>
        <v>5.0593958569133219</v>
      </c>
      <c r="B34" s="35">
        <f>F47</f>
        <v>4.993698707962535</v>
      </c>
      <c r="E34" s="15"/>
      <c r="F34" s="15"/>
      <c r="G34" s="15">
        <f>F33*Down_movement</f>
        <v>60.570532459703365</v>
      </c>
      <c r="H34" s="15">
        <f>G34*Up_movement</f>
        <v>65.730002999999996</v>
      </c>
      <c r="I34" s="15">
        <f>H34*Up_movement</f>
        <v>71.328963423828668</v>
      </c>
      <c r="J34" s="15">
        <f>I34*Up_movement</f>
        <v>77.4048500061363</v>
      </c>
      <c r="K34" s="15">
        <f>J34*Up_movement</f>
        <v>83.998287888631936</v>
      </c>
    </row>
    <row r="35" spans="1:11" x14ac:dyDescent="0.25">
      <c r="E35" s="15"/>
      <c r="F35" s="15"/>
      <c r="G35" s="15"/>
      <c r="H35" s="15">
        <f>G34*Down_movement</f>
        <v>55.816054084950814</v>
      </c>
      <c r="I35" s="15">
        <f>H35*Up_movement</f>
        <v>60.570532459703372</v>
      </c>
      <c r="J35" s="15">
        <f>I35*Up_movement</f>
        <v>65.730003000000011</v>
      </c>
      <c r="K35" s="15">
        <f>J35*Up_movement</f>
        <v>71.328963423828682</v>
      </c>
    </row>
    <row r="36" spans="1:11" x14ac:dyDescent="0.25">
      <c r="E36" s="15"/>
      <c r="F36" s="15"/>
      <c r="G36" s="15"/>
      <c r="H36" s="15"/>
      <c r="I36" s="15">
        <f>H35*Down_movement</f>
        <v>51.434778052955089</v>
      </c>
      <c r="J36" s="15">
        <f>I36*Up_movement</f>
        <v>55.816054084950821</v>
      </c>
      <c r="K36" s="15">
        <f>J36*Up_movement</f>
        <v>60.570532459703379</v>
      </c>
    </row>
    <row r="37" spans="1:11" x14ac:dyDescent="0.25">
      <c r="E37" s="15"/>
      <c r="F37" s="15"/>
      <c r="G37" s="15"/>
      <c r="H37" s="15"/>
      <c r="I37" s="15"/>
      <c r="J37" s="15">
        <f>I36*Down_movement</f>
        <v>47.397409880144906</v>
      </c>
      <c r="K37" s="15">
        <f>J37*Up_movement</f>
        <v>51.434778052955089</v>
      </c>
    </row>
    <row r="38" spans="1:11" x14ac:dyDescent="0.25">
      <c r="E38" s="15"/>
      <c r="F38" s="15"/>
      <c r="G38" s="15"/>
      <c r="H38" s="15"/>
      <c r="I38" s="15"/>
      <c r="J38" s="15"/>
      <c r="K38" s="15">
        <f>J37*Down_movement</f>
        <v>43.676954550742714</v>
      </c>
    </row>
    <row r="39" spans="1:11" x14ac:dyDescent="0.25">
      <c r="E39" s="36"/>
      <c r="F39" s="36"/>
      <c r="G39" s="36"/>
      <c r="H39" s="36"/>
      <c r="I39" s="36"/>
      <c r="J39" s="36"/>
      <c r="K39" s="36"/>
    </row>
    <row r="40" spans="1:11" x14ac:dyDescent="0.25">
      <c r="E40" s="15" t="s">
        <v>52</v>
      </c>
      <c r="F40" s="35">
        <f>(Up_probability*G40+(1-Up_probability)*G41)*Discount_Factor</f>
        <v>5.0593958569133219</v>
      </c>
      <c r="G40" s="15">
        <f>(Up_probability*H40+(1-Up_probability)*H41)*Discount_Factor</f>
        <v>8.0772010444161388</v>
      </c>
      <c r="H40" s="15">
        <f>(Up_probability*I40+(1-Up_probability)*I41)*Discount_Factor</f>
        <v>12.43597358697399</v>
      </c>
      <c r="I40" s="15">
        <f>(Up_probability*J40+(1-Up_probability)*J41)*Discount_Factor</f>
        <v>18.294571632132762</v>
      </c>
      <c r="J40" s="15">
        <f>(Up_probability*K40+(1-Up_probability)*K41)*Discount_Factor</f>
        <v>25.436504397366615</v>
      </c>
      <c r="K40" s="15">
        <f t="shared" ref="K40:K45" si="0">MAX(0,(K33-Exercise_Price))</f>
        <v>33.187912381683631</v>
      </c>
    </row>
    <row r="41" spans="1:11" x14ac:dyDescent="0.25">
      <c r="E41" s="15"/>
      <c r="F41" s="15"/>
      <c r="G41" s="15">
        <f>(Up_probability*H41+(1-Up_probability)*H42)*Discount_Factor</f>
        <v>2.2667736596551888</v>
      </c>
      <c r="H41" s="15">
        <f>(Up_probability*I41+(1-Up_probability)*I42)*Discount_Factor</f>
        <v>4.0439684775087734</v>
      </c>
      <c r="I41" s="15">
        <f>(Up_probability*J41+(1-Up_probability)*J42)*Discount_Factor</f>
        <v>7.0155401997357139</v>
      </c>
      <c r="J41" s="15">
        <f>(Up_probability*K41+(1-Up_probability)*K42)*Discount_Factor</f>
        <v>11.687991692223886</v>
      </c>
      <c r="K41" s="15">
        <f t="shared" si="0"/>
        <v>18.268284888631939</v>
      </c>
    </row>
    <row r="42" spans="1:11" x14ac:dyDescent="0.25">
      <c r="E42" s="15"/>
      <c r="F42" s="15"/>
      <c r="G42" s="15"/>
      <c r="H42" s="15">
        <f>(Up_probability*I42+(1-Up_probability)*I43)*Discount_Factor</f>
        <v>0.62191523066910048</v>
      </c>
      <c r="I42" s="15">
        <f>(Up_probability*J42+(1-Up_probability)*J43)*Discount_Factor</f>
        <v>1.2937685639597831</v>
      </c>
      <c r="J42" s="15">
        <f>(Up_probability*K42+(1-Up_probability)*K43)*Discount_Factor</f>
        <v>2.691423227068626</v>
      </c>
      <c r="K42" s="15">
        <f t="shared" si="0"/>
        <v>5.5989604238286859</v>
      </c>
    </row>
    <row r="43" spans="1:11" x14ac:dyDescent="0.25">
      <c r="E43" s="15"/>
      <c r="F43" s="15"/>
      <c r="G43" s="15"/>
      <c r="H43" s="15"/>
      <c r="I43" s="15">
        <f>(Up_probability*J43+(1-Up_probability)*J44)*Discount_Factor</f>
        <v>0</v>
      </c>
      <c r="J43" s="15">
        <f>(Up_probability*K43+(1-Up_probability)*K44)*Discount_Factor</f>
        <v>0</v>
      </c>
      <c r="K43" s="15">
        <f t="shared" si="0"/>
        <v>0</v>
      </c>
    </row>
    <row r="44" spans="1:11" x14ac:dyDescent="0.25">
      <c r="E44" s="15"/>
      <c r="F44" s="15"/>
      <c r="G44" s="15"/>
      <c r="H44" s="15"/>
      <c r="I44" s="15"/>
      <c r="J44" s="15">
        <f>(Up_probability*K44+(1-Up_probability)*K45)*Discount_Factor</f>
        <v>0</v>
      </c>
      <c r="K44" s="15">
        <f t="shared" si="0"/>
        <v>0</v>
      </c>
    </row>
    <row r="45" spans="1:11" x14ac:dyDescent="0.25">
      <c r="E45" s="15"/>
      <c r="F45" s="15"/>
      <c r="G45" s="15"/>
      <c r="H45" s="15"/>
      <c r="I45" s="15"/>
      <c r="J45" s="15"/>
      <c r="K45" s="15">
        <f t="shared" si="0"/>
        <v>0</v>
      </c>
    </row>
    <row r="47" spans="1:11" x14ac:dyDescent="0.25">
      <c r="E47" s="15" t="s">
        <v>53</v>
      </c>
      <c r="F47" s="35">
        <f>(Up_probability*G47+(1-Up_probability)*G48)*Discount_Factor</f>
        <v>4.993698707962535</v>
      </c>
      <c r="G47" s="15">
        <f>(Up_probability*H47+(1-Up_probability)*H48)*Discount_Factor</f>
        <v>2.42567764618056</v>
      </c>
      <c r="H47" s="15">
        <f>(Up_probability*I47+(1-Up_probability)*I48)*Discount_Factor</f>
        <v>0.72170040807228564</v>
      </c>
      <c r="I47" s="15">
        <v>0</v>
      </c>
      <c r="J47" s="15">
        <v>0</v>
      </c>
      <c r="K47" s="15">
        <f t="shared" ref="K47:K52" si="1">MAX(0,(Exercise_Price - K33))</f>
        <v>0</v>
      </c>
    </row>
    <row r="48" spans="1:11" x14ac:dyDescent="0.25">
      <c r="E48" s="15"/>
      <c r="F48" s="15"/>
      <c r="G48" s="15">
        <f>(Up_probability*H48+(1-Up_probability)*H49)*Discount_Factor</f>
        <v>7.3736812255449236</v>
      </c>
      <c r="H48" s="15">
        <f>(Up_probability*I48+(1-Up_probability)*I49)*Discount_Factor</f>
        <v>4.0045423047433673</v>
      </c>
      <c r="I48" s="15">
        <f>(Up_probability*J48+(1-Up_probability)*J49)*Discount_Factor</f>
        <v>1.390293032406211</v>
      </c>
      <c r="J48" s="15">
        <v>0</v>
      </c>
      <c r="K48" s="15">
        <f t="shared" si="1"/>
        <v>0</v>
      </c>
    </row>
    <row r="49" spans="5:11" x14ac:dyDescent="0.25">
      <c r="E49" s="15"/>
      <c r="F49" s="15"/>
      <c r="G49" s="15"/>
      <c r="H49" s="15">
        <f>(Up_probability*I49+(1-Up_probability)*I50)*Discount_Factor</f>
        <v>10.496437972952888</v>
      </c>
      <c r="I49" s="15">
        <f>(Up_probability*J49+(1-Up_probability)*J50)*Discount_Factor</f>
        <v>6.4269523607555898</v>
      </c>
      <c r="J49" s="15">
        <f>(Up_probability*K49+(1-Up_probability)*K50)*Discount_Factor</f>
        <v>2.6782785409810339</v>
      </c>
      <c r="K49" s="15">
        <f t="shared" si="1"/>
        <v>0</v>
      </c>
    </row>
    <row r="50" spans="5:11" x14ac:dyDescent="0.25">
      <c r="E50" s="15"/>
      <c r="F50" s="15"/>
      <c r="G50" s="15"/>
      <c r="H50" s="15"/>
      <c r="I50" s="15">
        <f>(Up_probability*J50+(1-Up_probability)*J51)*Discount_Factor</f>
        <v>14.268938203544094</v>
      </c>
      <c r="J50" s="15">
        <f>(Up_probability*K50+(1-Up_probability)*K51)*Discount_Factor</f>
        <v>9.900804228961599</v>
      </c>
      <c r="K50" s="15">
        <f t="shared" si="1"/>
        <v>5.159470540296617</v>
      </c>
    </row>
    <row r="51" spans="5:11" x14ac:dyDescent="0.25">
      <c r="E51" s="15"/>
      <c r="F51" s="15"/>
      <c r="G51" s="15"/>
      <c r="H51" s="15"/>
      <c r="I51" s="15"/>
      <c r="J51" s="15">
        <f>(Up_probability*K51+(1-Up_probability)*K52)*Discount_Factor</f>
        <v>18.319448433767512</v>
      </c>
      <c r="K51" s="15">
        <f t="shared" si="1"/>
        <v>14.295224947044908</v>
      </c>
    </row>
    <row r="52" spans="5:11" x14ac:dyDescent="0.25">
      <c r="E52" s="15"/>
      <c r="F52" s="15"/>
      <c r="G52" s="15"/>
      <c r="H52" s="15"/>
      <c r="I52" s="15"/>
      <c r="J52" s="15"/>
      <c r="K52" s="15">
        <f t="shared" si="1"/>
        <v>22.053048449257282</v>
      </c>
    </row>
  </sheetData>
  <mergeCells count="1">
    <mergeCell ref="A32:B32"/>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4:R818"/>
  <sheetViews>
    <sheetView topLeftCell="A155" zoomScaleNormal="100" workbookViewId="0">
      <selection activeCell="I317" sqref="I317"/>
    </sheetView>
  </sheetViews>
  <sheetFormatPr defaultRowHeight="15" x14ac:dyDescent="0.25"/>
  <cols>
    <col min="1" max="1" width="13.140625" customWidth="1"/>
    <col min="2" max="2" width="12.42578125" customWidth="1"/>
  </cols>
  <sheetData>
    <row r="4" spans="1:2" x14ac:dyDescent="0.25">
      <c r="A4" s="37" t="s">
        <v>54</v>
      </c>
      <c r="B4" s="38" t="s">
        <v>55</v>
      </c>
    </row>
    <row r="5" spans="1:2" x14ac:dyDescent="0.25">
      <c r="A5" s="39">
        <v>42821</v>
      </c>
      <c r="B5" s="40">
        <v>47.02</v>
      </c>
    </row>
    <row r="6" spans="1:2" x14ac:dyDescent="0.25">
      <c r="A6" s="39">
        <v>42818</v>
      </c>
      <c r="B6" s="40">
        <v>47.3</v>
      </c>
    </row>
    <row r="7" spans="1:2" x14ac:dyDescent="0.25">
      <c r="A7" s="39">
        <v>42817</v>
      </c>
      <c r="B7" s="40">
        <v>47</v>
      </c>
    </row>
    <row r="8" spans="1:2" x14ac:dyDescent="0.25">
      <c r="A8" s="39">
        <v>42816</v>
      </c>
      <c r="B8" s="40">
        <v>47.29</v>
      </c>
    </row>
    <row r="9" spans="1:2" x14ac:dyDescent="0.25">
      <c r="A9" s="39">
        <v>42815</v>
      </c>
      <c r="B9" s="40">
        <v>47.02</v>
      </c>
    </row>
    <row r="10" spans="1:2" x14ac:dyDescent="0.25">
      <c r="A10" s="39">
        <v>42814</v>
      </c>
      <c r="B10" s="40">
        <v>47.79</v>
      </c>
    </row>
    <row r="11" spans="1:2" x14ac:dyDescent="0.25">
      <c r="A11" s="39">
        <v>42811</v>
      </c>
      <c r="B11" s="40">
        <v>48.34</v>
      </c>
    </row>
    <row r="12" spans="1:2" x14ac:dyDescent="0.25">
      <c r="A12" s="39">
        <v>42810</v>
      </c>
      <c r="B12" s="40">
        <v>48.3</v>
      </c>
    </row>
    <row r="13" spans="1:2" x14ac:dyDescent="0.25">
      <c r="A13" s="39">
        <v>42809</v>
      </c>
      <c r="B13" s="40">
        <v>48.34</v>
      </c>
    </row>
    <row r="14" spans="1:2" x14ac:dyDescent="0.25">
      <c r="A14" s="39">
        <v>42808</v>
      </c>
      <c r="B14" s="40">
        <v>47.24</v>
      </c>
    </row>
    <row r="15" spans="1:2" x14ac:dyDescent="0.25">
      <c r="A15" s="39">
        <v>42807</v>
      </c>
      <c r="B15" s="40">
        <v>47.95</v>
      </c>
    </row>
    <row r="16" spans="1:2" x14ac:dyDescent="0.25">
      <c r="A16" s="39">
        <v>42804</v>
      </c>
      <c r="B16" s="40">
        <v>48.05</v>
      </c>
    </row>
    <row r="17" spans="1:7" x14ac:dyDescent="0.25">
      <c r="A17" s="39">
        <v>42803</v>
      </c>
      <c r="B17" s="40">
        <v>48.75</v>
      </c>
    </row>
    <row r="18" spans="1:7" x14ac:dyDescent="0.25">
      <c r="A18" s="39">
        <v>42802</v>
      </c>
      <c r="B18" s="40">
        <v>49.83</v>
      </c>
    </row>
    <row r="19" spans="1:7" x14ac:dyDescent="0.25">
      <c r="A19" s="39">
        <v>42801</v>
      </c>
      <c r="B19" s="40">
        <v>52.68</v>
      </c>
    </row>
    <row r="20" spans="1:7" x14ac:dyDescent="0.25">
      <c r="A20" s="39">
        <v>42800</v>
      </c>
      <c r="B20" s="40">
        <v>53.19</v>
      </c>
    </row>
    <row r="21" spans="1:7" x14ac:dyDescent="0.25">
      <c r="A21" s="39">
        <v>42797</v>
      </c>
      <c r="B21" s="40">
        <v>53.33</v>
      </c>
    </row>
    <row r="22" spans="1:7" x14ac:dyDescent="0.25">
      <c r="A22" s="39">
        <v>42796</v>
      </c>
      <c r="B22" s="40">
        <v>52.63</v>
      </c>
    </row>
    <row r="23" spans="1:7" x14ac:dyDescent="0.25">
      <c r="A23" s="39">
        <v>42795</v>
      </c>
      <c r="B23" s="40">
        <v>53.82</v>
      </c>
    </row>
    <row r="24" spans="1:7" x14ac:dyDescent="0.25">
      <c r="A24" s="39">
        <v>42794</v>
      </c>
      <c r="B24" s="40">
        <v>54</v>
      </c>
    </row>
    <row r="25" spans="1:7" x14ac:dyDescent="0.25">
      <c r="A25" s="39">
        <v>42793</v>
      </c>
      <c r="B25" s="40">
        <v>54.04</v>
      </c>
      <c r="F25" s="41" t="s">
        <v>56</v>
      </c>
      <c r="G25" s="41">
        <f>MIN(B5:B818)</f>
        <v>26.19</v>
      </c>
    </row>
    <row r="26" spans="1:7" x14ac:dyDescent="0.25">
      <c r="A26" s="39">
        <v>42790</v>
      </c>
      <c r="B26" s="40">
        <v>53.99</v>
      </c>
      <c r="F26" s="41" t="s">
        <v>57</v>
      </c>
      <c r="G26" s="41">
        <f>MAX(B5:B818)</f>
        <v>107.95</v>
      </c>
    </row>
    <row r="27" spans="1:7" x14ac:dyDescent="0.25">
      <c r="A27" s="39">
        <v>42789</v>
      </c>
      <c r="B27" s="40">
        <v>54.48</v>
      </c>
      <c r="F27" s="41" t="s">
        <v>58</v>
      </c>
      <c r="G27" s="41">
        <f>AVERAGE(B5:B818)</f>
        <v>60.998452088452041</v>
      </c>
    </row>
    <row r="28" spans="1:7" x14ac:dyDescent="0.25">
      <c r="A28" s="39">
        <v>42788</v>
      </c>
      <c r="B28" s="40">
        <v>53.61</v>
      </c>
    </row>
    <row r="29" spans="1:7" x14ac:dyDescent="0.25">
      <c r="A29" s="39">
        <v>42787</v>
      </c>
      <c r="B29" s="40">
        <v>54.02</v>
      </c>
    </row>
    <row r="30" spans="1:7" x14ac:dyDescent="0.25">
      <c r="A30" s="39">
        <v>42783</v>
      </c>
      <c r="B30" s="40">
        <v>53.41</v>
      </c>
    </row>
    <row r="31" spans="1:7" x14ac:dyDescent="0.25">
      <c r="A31" s="39">
        <v>42782</v>
      </c>
      <c r="B31" s="40">
        <v>53.41</v>
      </c>
    </row>
    <row r="32" spans="1:7" x14ac:dyDescent="0.25">
      <c r="A32" s="39">
        <v>42781</v>
      </c>
      <c r="B32" s="40">
        <v>53.11</v>
      </c>
    </row>
    <row r="33" spans="1:6" x14ac:dyDescent="0.25">
      <c r="A33" s="39">
        <v>42780</v>
      </c>
      <c r="B33" s="40">
        <v>53.21</v>
      </c>
      <c r="F33" s="42"/>
    </row>
    <row r="34" spans="1:6" x14ac:dyDescent="0.25">
      <c r="A34" s="39">
        <v>42779</v>
      </c>
      <c r="B34" s="40">
        <v>52.96</v>
      </c>
    </row>
    <row r="35" spans="1:6" x14ac:dyDescent="0.25">
      <c r="A35" s="39">
        <v>42776</v>
      </c>
      <c r="B35" s="40">
        <v>53.84</v>
      </c>
    </row>
    <row r="36" spans="1:6" x14ac:dyDescent="0.25">
      <c r="A36" s="39">
        <v>42775</v>
      </c>
      <c r="B36" s="40">
        <v>52.99</v>
      </c>
    </row>
    <row r="37" spans="1:6" x14ac:dyDescent="0.25">
      <c r="A37" s="39">
        <v>42774</v>
      </c>
      <c r="B37" s="40">
        <v>52.37</v>
      </c>
    </row>
    <row r="38" spans="1:6" x14ac:dyDescent="0.25">
      <c r="A38" s="39">
        <v>42773</v>
      </c>
      <c r="B38" s="40">
        <v>52.19</v>
      </c>
    </row>
    <row r="39" spans="1:6" x14ac:dyDescent="0.25">
      <c r="A39" s="39">
        <v>42772</v>
      </c>
      <c r="B39" s="40">
        <v>53.01</v>
      </c>
    </row>
    <row r="40" spans="1:6" x14ac:dyDescent="0.25">
      <c r="A40" s="39">
        <v>42769</v>
      </c>
      <c r="B40" s="40">
        <v>53.81</v>
      </c>
    </row>
    <row r="41" spans="1:6" x14ac:dyDescent="0.25">
      <c r="A41" s="39">
        <v>42768</v>
      </c>
      <c r="B41" s="40">
        <v>53.55</v>
      </c>
    </row>
    <row r="42" spans="1:6" x14ac:dyDescent="0.25">
      <c r="A42" s="39">
        <v>42767</v>
      </c>
      <c r="B42" s="40">
        <v>53.9</v>
      </c>
    </row>
    <row r="43" spans="1:6" x14ac:dyDescent="0.25">
      <c r="A43" s="39">
        <v>42766</v>
      </c>
      <c r="B43" s="40">
        <v>52.75</v>
      </c>
    </row>
    <row r="44" spans="1:6" x14ac:dyDescent="0.25">
      <c r="A44" s="39">
        <v>42765</v>
      </c>
      <c r="B44" s="40">
        <v>52.63</v>
      </c>
    </row>
    <row r="45" spans="1:6" x14ac:dyDescent="0.25">
      <c r="A45" s="39">
        <v>42762</v>
      </c>
      <c r="B45" s="40">
        <v>53.18</v>
      </c>
    </row>
    <row r="46" spans="1:6" x14ac:dyDescent="0.25">
      <c r="A46" s="39">
        <v>42761</v>
      </c>
      <c r="B46" s="40">
        <v>53.24</v>
      </c>
    </row>
    <row r="47" spans="1:6" x14ac:dyDescent="0.25">
      <c r="A47" s="39">
        <v>42760</v>
      </c>
      <c r="B47" s="40">
        <v>52.14</v>
      </c>
    </row>
    <row r="48" spans="1:6" x14ac:dyDescent="0.25">
      <c r="A48" s="39">
        <v>42759</v>
      </c>
      <c r="B48" s="40">
        <v>52.38</v>
      </c>
    </row>
    <row r="49" spans="1:2" x14ac:dyDescent="0.25">
      <c r="A49" s="39">
        <v>42758</v>
      </c>
      <c r="B49" s="40">
        <v>52.77</v>
      </c>
    </row>
    <row r="50" spans="1:2" x14ac:dyDescent="0.25">
      <c r="A50" s="39">
        <v>42755</v>
      </c>
      <c r="B50" s="40">
        <v>52.33</v>
      </c>
    </row>
    <row r="51" spans="1:2" x14ac:dyDescent="0.25">
      <c r="A51" s="39">
        <v>42754</v>
      </c>
      <c r="B51" s="40">
        <v>51.39</v>
      </c>
    </row>
    <row r="52" spans="1:2" x14ac:dyDescent="0.25">
      <c r="A52" s="39">
        <v>42753</v>
      </c>
      <c r="B52" s="40">
        <v>51.12</v>
      </c>
    </row>
    <row r="53" spans="1:2" x14ac:dyDescent="0.25">
      <c r="A53" s="39">
        <v>42752</v>
      </c>
      <c r="B53" s="40">
        <v>52.45</v>
      </c>
    </row>
    <row r="54" spans="1:2" x14ac:dyDescent="0.25">
      <c r="A54" s="39">
        <v>42748</v>
      </c>
      <c r="B54" s="40">
        <v>52.36</v>
      </c>
    </row>
    <row r="55" spans="1:2" x14ac:dyDescent="0.25">
      <c r="A55" s="39">
        <v>42747</v>
      </c>
      <c r="B55" s="40">
        <v>53.01</v>
      </c>
    </row>
    <row r="56" spans="1:2" x14ac:dyDescent="0.25">
      <c r="A56" s="39">
        <v>42746</v>
      </c>
      <c r="B56" s="40">
        <v>52.19</v>
      </c>
    </row>
    <row r="57" spans="1:2" x14ac:dyDescent="0.25">
      <c r="A57" s="39">
        <v>42745</v>
      </c>
      <c r="B57" s="40">
        <v>50.82</v>
      </c>
    </row>
    <row r="58" spans="1:2" x14ac:dyDescent="0.25">
      <c r="A58" s="39">
        <v>42744</v>
      </c>
      <c r="B58" s="40">
        <v>51.95</v>
      </c>
    </row>
    <row r="59" spans="1:2" x14ac:dyDescent="0.25">
      <c r="A59" s="39">
        <v>42741</v>
      </c>
      <c r="B59" s="40">
        <v>53.98</v>
      </c>
    </row>
    <row r="60" spans="1:2" x14ac:dyDescent="0.25">
      <c r="A60" s="39">
        <v>42740</v>
      </c>
      <c r="B60" s="40">
        <v>53.77</v>
      </c>
    </row>
    <row r="61" spans="1:2" x14ac:dyDescent="0.25">
      <c r="A61" s="39">
        <v>42739</v>
      </c>
      <c r="B61" s="40">
        <v>53.26</v>
      </c>
    </row>
    <row r="62" spans="1:2" x14ac:dyDescent="0.25">
      <c r="A62" s="39">
        <v>42738</v>
      </c>
      <c r="B62" s="40">
        <v>52.36</v>
      </c>
    </row>
    <row r="63" spans="1:2" x14ac:dyDescent="0.25">
      <c r="A63" s="39">
        <v>42734</v>
      </c>
      <c r="B63" s="40">
        <v>53.75</v>
      </c>
    </row>
    <row r="64" spans="1:2" x14ac:dyDescent="0.25">
      <c r="A64" s="39">
        <v>42733</v>
      </c>
      <c r="B64" s="40">
        <v>53.8</v>
      </c>
    </row>
    <row r="65" spans="1:2" x14ac:dyDescent="0.25">
      <c r="A65" s="39">
        <v>42732</v>
      </c>
      <c r="B65" s="40">
        <v>54.01</v>
      </c>
    </row>
    <row r="66" spans="1:2" x14ac:dyDescent="0.25">
      <c r="A66" s="39">
        <v>42731</v>
      </c>
      <c r="B66" s="40">
        <v>52.82</v>
      </c>
    </row>
    <row r="67" spans="1:2" x14ac:dyDescent="0.25">
      <c r="A67" s="39">
        <v>42727</v>
      </c>
      <c r="B67" s="40">
        <v>52.01</v>
      </c>
    </row>
    <row r="68" spans="1:2" x14ac:dyDescent="0.25">
      <c r="A68" s="39">
        <v>42726</v>
      </c>
      <c r="B68" s="40">
        <v>51.98</v>
      </c>
    </row>
    <row r="69" spans="1:2" x14ac:dyDescent="0.25">
      <c r="A69" s="39">
        <v>42725</v>
      </c>
      <c r="B69" s="40">
        <v>51.44</v>
      </c>
    </row>
    <row r="70" spans="1:2" x14ac:dyDescent="0.25">
      <c r="A70" s="39">
        <v>42724</v>
      </c>
      <c r="B70" s="40">
        <v>52.22</v>
      </c>
    </row>
    <row r="71" spans="1:2" x14ac:dyDescent="0.25">
      <c r="A71" s="39">
        <v>42723</v>
      </c>
      <c r="B71" s="40">
        <v>52.13</v>
      </c>
    </row>
    <row r="72" spans="1:2" x14ac:dyDescent="0.25">
      <c r="A72" s="39">
        <v>42720</v>
      </c>
      <c r="B72" s="40">
        <v>51.93</v>
      </c>
    </row>
    <row r="73" spans="1:2" x14ac:dyDescent="0.25">
      <c r="A73" s="39">
        <v>42719</v>
      </c>
      <c r="B73" s="40">
        <v>50.9</v>
      </c>
    </row>
    <row r="74" spans="1:2" x14ac:dyDescent="0.25">
      <c r="A74" s="39">
        <v>42718</v>
      </c>
      <c r="B74" s="40">
        <v>51.01</v>
      </c>
    </row>
    <row r="75" spans="1:2" x14ac:dyDescent="0.25">
      <c r="A75" s="39">
        <v>42717</v>
      </c>
      <c r="B75" s="40">
        <v>52.99</v>
      </c>
    </row>
    <row r="76" spans="1:2" x14ac:dyDescent="0.25">
      <c r="A76" s="39">
        <v>42716</v>
      </c>
      <c r="B76" s="40">
        <v>52.74</v>
      </c>
    </row>
    <row r="77" spans="1:2" x14ac:dyDescent="0.25">
      <c r="A77" s="39">
        <v>42713</v>
      </c>
      <c r="B77" s="40">
        <v>51.51</v>
      </c>
    </row>
    <row r="78" spans="1:2" x14ac:dyDescent="0.25">
      <c r="A78" s="39">
        <v>42712</v>
      </c>
      <c r="B78" s="40">
        <v>50.84</v>
      </c>
    </row>
    <row r="79" spans="1:2" x14ac:dyDescent="0.25">
      <c r="A79" s="39">
        <v>42711</v>
      </c>
      <c r="B79" s="40">
        <v>49.85</v>
      </c>
    </row>
    <row r="80" spans="1:2" x14ac:dyDescent="0.25">
      <c r="A80" s="39">
        <v>42710</v>
      </c>
      <c r="B80" s="40">
        <v>50.95</v>
      </c>
    </row>
    <row r="81" spans="1:2" x14ac:dyDescent="0.25">
      <c r="A81" s="39">
        <v>42709</v>
      </c>
      <c r="B81" s="40">
        <v>51.72</v>
      </c>
    </row>
    <row r="82" spans="1:2" x14ac:dyDescent="0.25">
      <c r="A82" s="39">
        <v>42706</v>
      </c>
      <c r="B82" s="40">
        <v>51.7</v>
      </c>
    </row>
    <row r="83" spans="1:2" x14ac:dyDescent="0.25">
      <c r="A83" s="39">
        <v>42705</v>
      </c>
      <c r="B83" s="40">
        <v>51.08</v>
      </c>
    </row>
    <row r="84" spans="1:2" x14ac:dyDescent="0.25">
      <c r="A84" s="39">
        <v>42704</v>
      </c>
      <c r="B84" s="40">
        <v>49.41</v>
      </c>
    </row>
    <row r="85" spans="1:2" x14ac:dyDescent="0.25">
      <c r="A85" s="39">
        <v>42703</v>
      </c>
      <c r="B85" s="40">
        <v>45.29</v>
      </c>
    </row>
    <row r="86" spans="1:2" x14ac:dyDescent="0.25">
      <c r="A86" s="39">
        <v>42702</v>
      </c>
      <c r="B86" s="40">
        <v>45.66</v>
      </c>
    </row>
    <row r="87" spans="1:2" x14ac:dyDescent="0.25">
      <c r="A87" s="39">
        <v>42699</v>
      </c>
      <c r="B87" s="40">
        <v>46.72</v>
      </c>
    </row>
    <row r="88" spans="1:2" x14ac:dyDescent="0.25">
      <c r="A88" s="39">
        <v>42697</v>
      </c>
      <c r="B88" s="40">
        <v>46.72</v>
      </c>
    </row>
    <row r="89" spans="1:2" x14ac:dyDescent="0.25">
      <c r="A89" s="39">
        <v>42696</v>
      </c>
      <c r="B89" s="40">
        <v>48.07</v>
      </c>
    </row>
    <row r="90" spans="1:2" x14ac:dyDescent="0.25">
      <c r="A90" s="39">
        <v>42695</v>
      </c>
      <c r="B90" s="40">
        <v>47.48</v>
      </c>
    </row>
    <row r="91" spans="1:2" x14ac:dyDescent="0.25">
      <c r="A91" s="39">
        <v>42692</v>
      </c>
      <c r="B91" s="40">
        <v>45.69</v>
      </c>
    </row>
    <row r="92" spans="1:2" x14ac:dyDescent="0.25">
      <c r="A92" s="39">
        <v>42691</v>
      </c>
      <c r="B92" s="40">
        <v>45.37</v>
      </c>
    </row>
    <row r="93" spans="1:2" x14ac:dyDescent="0.25">
      <c r="A93" s="39">
        <v>42690</v>
      </c>
      <c r="B93" s="40">
        <v>45.56</v>
      </c>
    </row>
    <row r="94" spans="1:2" x14ac:dyDescent="0.25">
      <c r="A94" s="39">
        <v>42689</v>
      </c>
      <c r="B94" s="40">
        <v>45.86</v>
      </c>
    </row>
    <row r="95" spans="1:2" x14ac:dyDescent="0.25">
      <c r="A95" s="39">
        <v>42688</v>
      </c>
      <c r="B95" s="40">
        <v>43.29</v>
      </c>
    </row>
    <row r="96" spans="1:2" x14ac:dyDescent="0.25">
      <c r="A96" s="39">
        <v>42685</v>
      </c>
      <c r="B96" s="40">
        <v>43.39</v>
      </c>
    </row>
    <row r="97" spans="1:2" x14ac:dyDescent="0.25">
      <c r="A97" s="39">
        <v>42684</v>
      </c>
      <c r="B97" s="40">
        <v>44.62</v>
      </c>
    </row>
    <row r="98" spans="1:2" x14ac:dyDescent="0.25">
      <c r="A98" s="39">
        <v>42683</v>
      </c>
      <c r="B98" s="40">
        <v>45.2</v>
      </c>
    </row>
    <row r="99" spans="1:2" x14ac:dyDescent="0.25">
      <c r="A99" s="39">
        <v>42682</v>
      </c>
      <c r="B99" s="40">
        <v>44.96</v>
      </c>
    </row>
    <row r="100" spans="1:2" x14ac:dyDescent="0.25">
      <c r="A100" s="39">
        <v>42681</v>
      </c>
      <c r="B100" s="40">
        <v>44.88</v>
      </c>
    </row>
    <row r="101" spans="1:2" x14ac:dyDescent="0.25">
      <c r="A101" s="39">
        <v>42678</v>
      </c>
      <c r="B101" s="40">
        <v>44.07</v>
      </c>
    </row>
    <row r="102" spans="1:2" x14ac:dyDescent="0.25">
      <c r="A102" s="39">
        <v>42677</v>
      </c>
      <c r="B102" s="40">
        <v>44.66</v>
      </c>
    </row>
    <row r="103" spans="1:2" x14ac:dyDescent="0.25">
      <c r="A103" s="39">
        <v>42676</v>
      </c>
      <c r="B103" s="40">
        <v>45.32</v>
      </c>
    </row>
    <row r="104" spans="1:2" x14ac:dyDescent="0.25">
      <c r="A104" s="39">
        <v>42675</v>
      </c>
      <c r="B104" s="40">
        <v>46.66</v>
      </c>
    </row>
    <row r="105" spans="1:2" x14ac:dyDescent="0.25">
      <c r="A105" s="39">
        <v>42674</v>
      </c>
      <c r="B105" s="40">
        <v>46.83</v>
      </c>
    </row>
    <row r="106" spans="1:2" x14ac:dyDescent="0.25">
      <c r="A106" s="39">
        <v>42671</v>
      </c>
      <c r="B106" s="40">
        <v>48.72</v>
      </c>
    </row>
    <row r="107" spans="1:2" x14ac:dyDescent="0.25">
      <c r="A107" s="39">
        <v>42670</v>
      </c>
      <c r="B107" s="40">
        <v>49.71</v>
      </c>
    </row>
    <row r="108" spans="1:2" x14ac:dyDescent="0.25">
      <c r="A108" s="39">
        <v>42669</v>
      </c>
      <c r="B108" s="40">
        <v>48.75</v>
      </c>
    </row>
    <row r="109" spans="1:2" x14ac:dyDescent="0.25">
      <c r="A109" s="39">
        <v>42668</v>
      </c>
      <c r="B109" s="40">
        <v>49.45</v>
      </c>
    </row>
    <row r="110" spans="1:2" x14ac:dyDescent="0.25">
      <c r="A110" s="39">
        <v>42667</v>
      </c>
      <c r="B110" s="40">
        <v>50.18</v>
      </c>
    </row>
    <row r="111" spans="1:2" x14ac:dyDescent="0.25">
      <c r="A111" s="39">
        <v>42664</v>
      </c>
      <c r="B111" s="40">
        <v>50.61</v>
      </c>
    </row>
    <row r="112" spans="1:2" x14ac:dyDescent="0.25">
      <c r="A112" s="39">
        <v>42663</v>
      </c>
      <c r="B112" s="40">
        <v>50.31</v>
      </c>
    </row>
    <row r="113" spans="1:2" x14ac:dyDescent="0.25">
      <c r="A113" s="39">
        <v>42662</v>
      </c>
      <c r="B113" s="40">
        <v>51.59</v>
      </c>
    </row>
    <row r="114" spans="1:2" x14ac:dyDescent="0.25">
      <c r="A114" s="39">
        <v>42661</v>
      </c>
      <c r="B114" s="40">
        <v>50.3</v>
      </c>
    </row>
    <row r="115" spans="1:2" x14ac:dyDescent="0.25">
      <c r="A115" s="39">
        <v>42660</v>
      </c>
      <c r="B115" s="40">
        <v>49.97</v>
      </c>
    </row>
    <row r="116" spans="1:2" x14ac:dyDescent="0.25">
      <c r="A116" s="39">
        <v>42657</v>
      </c>
      <c r="B116" s="40">
        <v>50.35</v>
      </c>
    </row>
    <row r="117" spans="1:2" x14ac:dyDescent="0.25">
      <c r="A117" s="39">
        <v>42656</v>
      </c>
      <c r="B117" s="40">
        <v>50.47</v>
      </c>
    </row>
    <row r="118" spans="1:2" x14ac:dyDescent="0.25">
      <c r="A118" s="39">
        <v>42655</v>
      </c>
      <c r="B118" s="40">
        <v>50.14</v>
      </c>
    </row>
    <row r="119" spans="1:2" x14ac:dyDescent="0.25">
      <c r="A119" s="39">
        <v>42654</v>
      </c>
      <c r="B119" s="40">
        <v>50.72</v>
      </c>
    </row>
    <row r="120" spans="1:2" x14ac:dyDescent="0.25">
      <c r="A120" s="39">
        <v>42653</v>
      </c>
      <c r="B120" s="40">
        <v>49.76</v>
      </c>
    </row>
    <row r="121" spans="1:2" x14ac:dyDescent="0.25">
      <c r="A121" s="39">
        <v>42650</v>
      </c>
      <c r="B121" s="40">
        <v>49.76</v>
      </c>
    </row>
    <row r="122" spans="1:2" x14ac:dyDescent="0.25">
      <c r="A122" s="39">
        <v>42649</v>
      </c>
      <c r="B122" s="40">
        <v>50.44</v>
      </c>
    </row>
    <row r="123" spans="1:2" x14ac:dyDescent="0.25">
      <c r="A123" s="39">
        <v>42648</v>
      </c>
      <c r="B123" s="40">
        <v>49.75</v>
      </c>
    </row>
    <row r="124" spans="1:2" x14ac:dyDescent="0.25">
      <c r="A124" s="39">
        <v>42647</v>
      </c>
      <c r="B124" s="40">
        <v>48.67</v>
      </c>
    </row>
    <row r="125" spans="1:2" x14ac:dyDescent="0.25">
      <c r="A125" s="39">
        <v>42646</v>
      </c>
      <c r="B125" s="40">
        <v>48.8</v>
      </c>
    </row>
    <row r="126" spans="1:2" x14ac:dyDescent="0.25">
      <c r="A126" s="39">
        <v>42643</v>
      </c>
      <c r="B126" s="40">
        <v>47.72</v>
      </c>
    </row>
    <row r="127" spans="1:2" x14ac:dyDescent="0.25">
      <c r="A127" s="39">
        <v>42642</v>
      </c>
      <c r="B127" s="40">
        <v>47.72</v>
      </c>
    </row>
    <row r="128" spans="1:2" x14ac:dyDescent="0.25">
      <c r="A128" s="39">
        <v>42641</v>
      </c>
      <c r="B128" s="40">
        <v>47.07</v>
      </c>
    </row>
    <row r="129" spans="1:2" x14ac:dyDescent="0.25">
      <c r="A129" s="39">
        <v>42640</v>
      </c>
      <c r="B129" s="40">
        <v>44.65</v>
      </c>
    </row>
    <row r="130" spans="1:2" x14ac:dyDescent="0.25">
      <c r="A130" s="39">
        <v>42639</v>
      </c>
      <c r="B130" s="40">
        <v>45.6</v>
      </c>
    </row>
    <row r="131" spans="1:2" x14ac:dyDescent="0.25">
      <c r="A131" s="39">
        <v>42636</v>
      </c>
      <c r="B131" s="40">
        <v>44.36</v>
      </c>
    </row>
    <row r="132" spans="1:2" x14ac:dyDescent="0.25">
      <c r="A132" s="39">
        <v>42635</v>
      </c>
      <c r="B132" s="40">
        <v>46.1</v>
      </c>
    </row>
    <row r="133" spans="1:2" x14ac:dyDescent="0.25">
      <c r="A133" s="39">
        <v>42634</v>
      </c>
      <c r="B133" s="40">
        <v>45.33</v>
      </c>
    </row>
    <row r="134" spans="1:2" x14ac:dyDescent="0.25">
      <c r="A134" s="39">
        <v>42633</v>
      </c>
      <c r="B134" s="40">
        <v>43.85</v>
      </c>
    </row>
    <row r="135" spans="1:2" x14ac:dyDescent="0.25">
      <c r="A135" s="39">
        <v>42632</v>
      </c>
      <c r="B135" s="40">
        <v>43.34</v>
      </c>
    </row>
    <row r="136" spans="1:2" x14ac:dyDescent="0.25">
      <c r="A136" s="39">
        <v>42629</v>
      </c>
      <c r="B136" s="40">
        <v>43.04</v>
      </c>
    </row>
    <row r="137" spans="1:2" x14ac:dyDescent="0.25">
      <c r="A137" s="39">
        <v>42628</v>
      </c>
      <c r="B137" s="40">
        <v>43.85</v>
      </c>
    </row>
    <row r="138" spans="1:2" x14ac:dyDescent="0.25">
      <c r="A138" s="39">
        <v>42627</v>
      </c>
      <c r="B138" s="40">
        <v>43.62</v>
      </c>
    </row>
    <row r="139" spans="1:2" x14ac:dyDescent="0.25">
      <c r="A139" s="39">
        <v>42626</v>
      </c>
      <c r="B139" s="40">
        <v>44.91</v>
      </c>
    </row>
    <row r="140" spans="1:2" x14ac:dyDescent="0.25">
      <c r="A140" s="39">
        <v>42625</v>
      </c>
      <c r="B140" s="40">
        <v>46.28</v>
      </c>
    </row>
    <row r="141" spans="1:2" x14ac:dyDescent="0.25">
      <c r="A141" s="39">
        <v>42622</v>
      </c>
      <c r="B141" s="40">
        <v>45.88</v>
      </c>
    </row>
    <row r="142" spans="1:2" x14ac:dyDescent="0.25">
      <c r="A142" s="39">
        <v>42621</v>
      </c>
      <c r="B142" s="40">
        <v>47.63</v>
      </c>
    </row>
    <row r="143" spans="1:2" x14ac:dyDescent="0.25">
      <c r="A143" s="39">
        <v>42620</v>
      </c>
      <c r="B143" s="40">
        <v>45.47</v>
      </c>
    </row>
    <row r="144" spans="1:2" x14ac:dyDescent="0.25">
      <c r="A144" s="39">
        <v>42619</v>
      </c>
      <c r="B144" s="40">
        <v>44.85</v>
      </c>
    </row>
    <row r="145" spans="1:16" x14ac:dyDescent="0.25">
      <c r="A145" s="39">
        <v>42615</v>
      </c>
      <c r="B145" s="40">
        <v>44.39</v>
      </c>
    </row>
    <row r="146" spans="1:16" x14ac:dyDescent="0.25">
      <c r="A146" s="39">
        <v>42614</v>
      </c>
      <c r="B146" s="40">
        <v>43.17</v>
      </c>
    </row>
    <row r="147" spans="1:16" x14ac:dyDescent="0.25">
      <c r="A147" s="39">
        <v>42613</v>
      </c>
      <c r="B147" s="40">
        <v>44.68</v>
      </c>
    </row>
    <row r="148" spans="1:16" x14ac:dyDescent="0.25">
      <c r="A148" s="39">
        <v>42612</v>
      </c>
      <c r="B148" s="40">
        <v>46.32</v>
      </c>
    </row>
    <row r="149" spans="1:16" x14ac:dyDescent="0.25">
      <c r="A149" s="39">
        <v>42611</v>
      </c>
      <c r="B149" s="40">
        <v>46.97</v>
      </c>
    </row>
    <row r="150" spans="1:16" x14ac:dyDescent="0.25">
      <c r="A150" s="39">
        <v>42608</v>
      </c>
      <c r="B150" s="40">
        <v>47.64</v>
      </c>
    </row>
    <row r="151" spans="1:16" x14ac:dyDescent="0.25">
      <c r="A151" s="39">
        <v>42607</v>
      </c>
      <c r="B151" s="40">
        <v>46.97</v>
      </c>
    </row>
    <row r="152" spans="1:16" x14ac:dyDescent="0.25">
      <c r="A152" s="39">
        <v>42606</v>
      </c>
      <c r="B152" s="40">
        <v>46.29</v>
      </c>
    </row>
    <row r="153" spans="1:16" x14ac:dyDescent="0.25">
      <c r="A153" s="39">
        <v>42605</v>
      </c>
      <c r="B153" s="40">
        <v>47.54</v>
      </c>
    </row>
    <row r="154" spans="1:16" x14ac:dyDescent="0.25">
      <c r="A154" s="39">
        <v>42604</v>
      </c>
      <c r="B154" s="40">
        <v>46.8</v>
      </c>
      <c r="F154" s="70" t="s">
        <v>72</v>
      </c>
      <c r="G154" s="71"/>
      <c r="H154" s="71"/>
      <c r="I154" s="71"/>
      <c r="J154" s="71"/>
      <c r="K154" s="71"/>
      <c r="L154" s="71"/>
      <c r="M154" s="71"/>
      <c r="N154" s="71"/>
      <c r="O154" s="71"/>
      <c r="P154" s="71"/>
    </row>
    <row r="155" spans="1:16" x14ac:dyDescent="0.25">
      <c r="A155" s="39">
        <v>42601</v>
      </c>
      <c r="B155" s="40">
        <v>48.48</v>
      </c>
    </row>
    <row r="156" spans="1:16" x14ac:dyDescent="0.25">
      <c r="A156" s="39">
        <v>42600</v>
      </c>
      <c r="B156" s="40">
        <v>48.2</v>
      </c>
    </row>
    <row r="157" spans="1:16" x14ac:dyDescent="0.25">
      <c r="A157" s="39">
        <v>42599</v>
      </c>
      <c r="B157" s="40">
        <v>46.81</v>
      </c>
    </row>
    <row r="158" spans="1:16" x14ac:dyDescent="0.25">
      <c r="A158" s="39">
        <v>42598</v>
      </c>
      <c r="B158" s="40">
        <v>46.57</v>
      </c>
    </row>
    <row r="159" spans="1:16" x14ac:dyDescent="0.25">
      <c r="A159" s="39">
        <v>42597</v>
      </c>
      <c r="B159" s="40">
        <v>45.72</v>
      </c>
    </row>
    <row r="160" spans="1:16" x14ac:dyDescent="0.25">
      <c r="A160" s="39">
        <v>42594</v>
      </c>
      <c r="B160" s="40">
        <v>44.47</v>
      </c>
    </row>
    <row r="161" spans="1:2" x14ac:dyDescent="0.25">
      <c r="A161" s="39">
        <v>42593</v>
      </c>
      <c r="B161" s="40">
        <v>43.51</v>
      </c>
    </row>
    <row r="162" spans="1:2" x14ac:dyDescent="0.25">
      <c r="A162" s="39">
        <v>42592</v>
      </c>
      <c r="B162" s="40">
        <v>41.75</v>
      </c>
    </row>
    <row r="163" spans="1:2" x14ac:dyDescent="0.25">
      <c r="A163" s="39">
        <v>42591</v>
      </c>
      <c r="B163" s="40">
        <v>42.78</v>
      </c>
    </row>
    <row r="164" spans="1:2" x14ac:dyDescent="0.25">
      <c r="A164" s="39">
        <v>42590</v>
      </c>
      <c r="B164" s="40">
        <v>43.06</v>
      </c>
    </row>
    <row r="165" spans="1:2" x14ac:dyDescent="0.25">
      <c r="A165" s="39">
        <v>42587</v>
      </c>
      <c r="B165" s="40">
        <v>41.83</v>
      </c>
    </row>
    <row r="166" spans="1:2" x14ac:dyDescent="0.25">
      <c r="A166" s="39">
        <v>42586</v>
      </c>
      <c r="B166" s="40">
        <v>41.92</v>
      </c>
    </row>
    <row r="167" spans="1:2" x14ac:dyDescent="0.25">
      <c r="A167" s="39">
        <v>42585</v>
      </c>
      <c r="B167" s="40">
        <v>40.799999999999997</v>
      </c>
    </row>
    <row r="168" spans="1:2" x14ac:dyDescent="0.25">
      <c r="A168" s="39">
        <v>42584</v>
      </c>
      <c r="B168" s="40">
        <v>39.5</v>
      </c>
    </row>
    <row r="169" spans="1:2" x14ac:dyDescent="0.25">
      <c r="A169" s="39">
        <v>42583</v>
      </c>
      <c r="B169" s="40">
        <v>40.049999999999997</v>
      </c>
    </row>
    <row r="170" spans="1:2" x14ac:dyDescent="0.25">
      <c r="A170" s="39">
        <v>42580</v>
      </c>
      <c r="B170" s="40">
        <v>41.54</v>
      </c>
    </row>
    <row r="171" spans="1:2" x14ac:dyDescent="0.25">
      <c r="A171" s="39">
        <v>42579</v>
      </c>
      <c r="B171" s="40">
        <v>41.13</v>
      </c>
    </row>
    <row r="172" spans="1:2" x14ac:dyDescent="0.25">
      <c r="A172" s="39">
        <v>42578</v>
      </c>
      <c r="B172" s="40">
        <v>41.9</v>
      </c>
    </row>
    <row r="173" spans="1:2" x14ac:dyDescent="0.25">
      <c r="A173" s="39">
        <v>42577</v>
      </c>
      <c r="B173" s="40">
        <v>42.16</v>
      </c>
    </row>
    <row r="174" spans="1:2" x14ac:dyDescent="0.25">
      <c r="A174" s="39">
        <v>42576</v>
      </c>
      <c r="B174" s="40">
        <v>42.4</v>
      </c>
    </row>
    <row r="175" spans="1:2" x14ac:dyDescent="0.25">
      <c r="A175" s="39">
        <v>42573</v>
      </c>
      <c r="B175" s="40">
        <v>43.41</v>
      </c>
    </row>
    <row r="176" spans="1:2" x14ac:dyDescent="0.25">
      <c r="A176" s="39">
        <v>42572</v>
      </c>
      <c r="B176" s="40">
        <v>43.96</v>
      </c>
    </row>
    <row r="177" spans="1:18" x14ac:dyDescent="0.25">
      <c r="A177" s="39">
        <v>42571</v>
      </c>
      <c r="B177" s="40">
        <v>44.96</v>
      </c>
    </row>
    <row r="178" spans="1:18" x14ac:dyDescent="0.25">
      <c r="A178" s="39">
        <v>42570</v>
      </c>
      <c r="B178" s="40">
        <v>44.64</v>
      </c>
    </row>
    <row r="179" spans="1:18" x14ac:dyDescent="0.25">
      <c r="A179" s="39">
        <v>42569</v>
      </c>
      <c r="B179" s="40">
        <v>45.23</v>
      </c>
    </row>
    <row r="180" spans="1:18" x14ac:dyDescent="0.25">
      <c r="A180" s="39">
        <v>42566</v>
      </c>
      <c r="B180" s="40">
        <v>45.93</v>
      </c>
      <c r="R180" t="s">
        <v>59</v>
      </c>
    </row>
    <row r="181" spans="1:18" x14ac:dyDescent="0.25">
      <c r="A181" s="39">
        <v>42565</v>
      </c>
      <c r="B181" s="40">
        <v>45.64</v>
      </c>
    </row>
    <row r="182" spans="1:18" x14ac:dyDescent="0.25">
      <c r="A182" s="39">
        <v>42564</v>
      </c>
      <c r="B182" s="40">
        <v>44.87</v>
      </c>
    </row>
    <row r="183" spans="1:18" x14ac:dyDescent="0.25">
      <c r="A183" s="39">
        <v>42563</v>
      </c>
      <c r="B183" s="40">
        <v>46.82</v>
      </c>
    </row>
    <row r="184" spans="1:18" x14ac:dyDescent="0.25">
      <c r="A184" s="39">
        <v>42562</v>
      </c>
      <c r="B184" s="40">
        <v>44.73</v>
      </c>
    </row>
    <row r="185" spans="1:18" x14ac:dyDescent="0.25">
      <c r="A185" s="39">
        <v>42559</v>
      </c>
      <c r="B185" s="40">
        <v>45.37</v>
      </c>
    </row>
    <row r="186" spans="1:18" x14ac:dyDescent="0.25">
      <c r="A186" s="39">
        <v>42558</v>
      </c>
      <c r="B186" s="40">
        <v>45.22</v>
      </c>
    </row>
    <row r="187" spans="1:18" x14ac:dyDescent="0.25">
      <c r="A187" s="39">
        <v>42557</v>
      </c>
      <c r="B187" s="40">
        <v>47.37</v>
      </c>
    </row>
    <row r="188" spans="1:18" x14ac:dyDescent="0.25">
      <c r="A188" s="39">
        <v>42556</v>
      </c>
      <c r="B188" s="40">
        <v>46.73</v>
      </c>
    </row>
    <row r="189" spans="1:18" x14ac:dyDescent="0.25">
      <c r="A189" s="39">
        <v>42552</v>
      </c>
      <c r="B189" s="40">
        <v>49.02</v>
      </c>
    </row>
    <row r="190" spans="1:18" x14ac:dyDescent="0.25">
      <c r="A190" s="39">
        <v>42551</v>
      </c>
      <c r="B190" s="40">
        <v>48.27</v>
      </c>
    </row>
    <row r="191" spans="1:18" x14ac:dyDescent="0.25">
      <c r="A191" s="39">
        <v>42550</v>
      </c>
      <c r="B191" s="40">
        <v>49.85</v>
      </c>
    </row>
    <row r="192" spans="1:18" x14ac:dyDescent="0.25">
      <c r="A192" s="39">
        <v>42549</v>
      </c>
      <c r="B192" s="40">
        <v>47.93</v>
      </c>
    </row>
    <row r="193" spans="1:2" x14ac:dyDescent="0.25">
      <c r="A193" s="39">
        <v>42548</v>
      </c>
      <c r="B193" s="40">
        <v>45.8</v>
      </c>
    </row>
    <row r="194" spans="1:2" x14ac:dyDescent="0.25">
      <c r="A194" s="39">
        <v>42545</v>
      </c>
      <c r="B194" s="40">
        <v>46.7</v>
      </c>
    </row>
    <row r="195" spans="1:2" x14ac:dyDescent="0.25">
      <c r="A195" s="39">
        <v>42544</v>
      </c>
      <c r="B195" s="40">
        <v>49.34</v>
      </c>
    </row>
    <row r="196" spans="1:2" x14ac:dyDescent="0.25">
      <c r="A196" s="39">
        <v>42543</v>
      </c>
      <c r="B196" s="40">
        <v>49.16</v>
      </c>
    </row>
    <row r="197" spans="1:2" x14ac:dyDescent="0.25">
      <c r="A197" s="39">
        <v>42542</v>
      </c>
      <c r="B197" s="40">
        <v>48.95</v>
      </c>
    </row>
    <row r="198" spans="1:2" x14ac:dyDescent="0.25">
      <c r="A198" s="39">
        <v>42541</v>
      </c>
      <c r="B198" s="40">
        <v>49.4</v>
      </c>
    </row>
    <row r="199" spans="1:2" x14ac:dyDescent="0.25">
      <c r="A199" s="39">
        <v>42538</v>
      </c>
      <c r="B199" s="40">
        <v>48</v>
      </c>
    </row>
    <row r="200" spans="1:2" x14ac:dyDescent="0.25">
      <c r="A200" s="39">
        <v>42537</v>
      </c>
      <c r="B200" s="40">
        <v>46.14</v>
      </c>
    </row>
    <row r="201" spans="1:2" x14ac:dyDescent="0.25">
      <c r="A201" s="39">
        <v>42536</v>
      </c>
      <c r="B201" s="40">
        <v>47.92</v>
      </c>
    </row>
    <row r="202" spans="1:2" x14ac:dyDescent="0.25">
      <c r="A202" s="39">
        <v>42535</v>
      </c>
      <c r="B202" s="40">
        <v>48.49</v>
      </c>
    </row>
    <row r="203" spans="1:2" x14ac:dyDescent="0.25">
      <c r="A203" s="39">
        <v>42534</v>
      </c>
      <c r="B203" s="40">
        <v>48.89</v>
      </c>
    </row>
    <row r="204" spans="1:2" x14ac:dyDescent="0.25">
      <c r="A204" s="39">
        <v>42531</v>
      </c>
      <c r="B204" s="40">
        <v>49.09</v>
      </c>
    </row>
    <row r="205" spans="1:2" x14ac:dyDescent="0.25">
      <c r="A205" s="39">
        <v>42530</v>
      </c>
      <c r="B205" s="40">
        <v>50.52</v>
      </c>
    </row>
    <row r="206" spans="1:2" x14ac:dyDescent="0.25">
      <c r="A206" s="39">
        <v>42529</v>
      </c>
      <c r="B206" s="40">
        <v>51.23</v>
      </c>
    </row>
    <row r="207" spans="1:2" x14ac:dyDescent="0.25">
      <c r="A207" s="39">
        <v>42528</v>
      </c>
      <c r="B207" s="40">
        <v>50.37</v>
      </c>
    </row>
    <row r="208" spans="1:2" x14ac:dyDescent="0.25">
      <c r="A208" s="39">
        <v>42527</v>
      </c>
      <c r="B208" s="40">
        <v>49.71</v>
      </c>
    </row>
    <row r="209" spans="1:2" x14ac:dyDescent="0.25">
      <c r="A209" s="39">
        <v>42524</v>
      </c>
      <c r="B209" s="40">
        <v>48.69</v>
      </c>
    </row>
    <row r="210" spans="1:2" x14ac:dyDescent="0.25">
      <c r="A210" s="39">
        <v>42523</v>
      </c>
      <c r="B210" s="40">
        <v>49.14</v>
      </c>
    </row>
    <row r="211" spans="1:2" x14ac:dyDescent="0.25">
      <c r="A211" s="39">
        <v>42522</v>
      </c>
      <c r="B211" s="40">
        <v>49.07</v>
      </c>
    </row>
    <row r="212" spans="1:2" x14ac:dyDescent="0.25">
      <c r="A212" s="39">
        <v>42521</v>
      </c>
      <c r="B212" s="40">
        <v>49.1</v>
      </c>
    </row>
    <row r="213" spans="1:2" x14ac:dyDescent="0.25">
      <c r="A213" s="39">
        <v>42517</v>
      </c>
      <c r="B213" s="40">
        <v>49.36</v>
      </c>
    </row>
    <row r="214" spans="1:2" x14ac:dyDescent="0.25">
      <c r="A214" s="39">
        <v>42516</v>
      </c>
      <c r="B214" s="40">
        <v>49</v>
      </c>
    </row>
    <row r="215" spans="1:2" x14ac:dyDescent="0.25">
      <c r="A215" s="39">
        <v>42515</v>
      </c>
      <c r="B215" s="40">
        <v>49.1</v>
      </c>
    </row>
    <row r="216" spans="1:2" x14ac:dyDescent="0.25">
      <c r="A216" s="39">
        <v>42514</v>
      </c>
      <c r="B216" s="40">
        <v>48.04</v>
      </c>
    </row>
    <row r="217" spans="1:2" x14ac:dyDescent="0.25">
      <c r="A217" s="39">
        <v>42513</v>
      </c>
      <c r="B217" s="40">
        <v>48.12</v>
      </c>
    </row>
    <row r="218" spans="1:2" x14ac:dyDescent="0.25">
      <c r="A218" s="39">
        <v>42510</v>
      </c>
      <c r="B218" s="40">
        <v>47.67</v>
      </c>
    </row>
    <row r="219" spans="1:2" x14ac:dyDescent="0.25">
      <c r="A219" s="39">
        <v>42509</v>
      </c>
      <c r="B219" s="40">
        <v>48.16</v>
      </c>
    </row>
    <row r="220" spans="1:2" x14ac:dyDescent="0.25">
      <c r="A220" s="39">
        <v>42508</v>
      </c>
      <c r="B220" s="40">
        <v>48.12</v>
      </c>
    </row>
    <row r="221" spans="1:2" x14ac:dyDescent="0.25">
      <c r="A221" s="39">
        <v>42507</v>
      </c>
      <c r="B221" s="40">
        <v>48.29</v>
      </c>
    </row>
    <row r="222" spans="1:2" x14ac:dyDescent="0.25">
      <c r="A222" s="39">
        <v>42506</v>
      </c>
      <c r="B222" s="40">
        <v>47.72</v>
      </c>
    </row>
    <row r="223" spans="1:2" x14ac:dyDescent="0.25">
      <c r="A223" s="39">
        <v>42503</v>
      </c>
      <c r="B223" s="40">
        <v>46.22</v>
      </c>
    </row>
    <row r="224" spans="1:2" x14ac:dyDescent="0.25">
      <c r="A224" s="39">
        <v>42502</v>
      </c>
      <c r="B224" s="40">
        <v>46.64</v>
      </c>
    </row>
    <row r="225" spans="1:2" x14ac:dyDescent="0.25">
      <c r="A225" s="39">
        <v>42501</v>
      </c>
      <c r="B225" s="40">
        <v>46.21</v>
      </c>
    </row>
    <row r="226" spans="1:2" x14ac:dyDescent="0.25">
      <c r="A226" s="39">
        <v>42500</v>
      </c>
      <c r="B226" s="40">
        <v>44.68</v>
      </c>
    </row>
    <row r="227" spans="1:2" x14ac:dyDescent="0.25">
      <c r="A227" s="39">
        <v>42499</v>
      </c>
      <c r="B227" s="40">
        <v>43.45</v>
      </c>
    </row>
    <row r="228" spans="1:2" x14ac:dyDescent="0.25">
      <c r="A228" s="39">
        <v>42496</v>
      </c>
      <c r="B228" s="40">
        <v>44.58</v>
      </c>
    </row>
    <row r="229" spans="1:2" x14ac:dyDescent="0.25">
      <c r="A229" s="39">
        <v>42495</v>
      </c>
      <c r="B229" s="40">
        <v>44.33</v>
      </c>
    </row>
    <row r="230" spans="1:2" x14ac:dyDescent="0.25">
      <c r="A230" s="39">
        <v>42494</v>
      </c>
      <c r="B230" s="40">
        <v>43.77</v>
      </c>
    </row>
    <row r="231" spans="1:2" x14ac:dyDescent="0.25">
      <c r="A231" s="39">
        <v>42493</v>
      </c>
      <c r="B231" s="40">
        <v>43.65</v>
      </c>
    </row>
    <row r="232" spans="1:2" x14ac:dyDescent="0.25">
      <c r="A232" s="39">
        <v>42492</v>
      </c>
      <c r="B232" s="40">
        <v>44.75</v>
      </c>
    </row>
    <row r="233" spans="1:2" x14ac:dyDescent="0.25">
      <c r="A233" s="39">
        <v>42489</v>
      </c>
      <c r="B233" s="40">
        <v>45.98</v>
      </c>
    </row>
    <row r="234" spans="1:2" x14ac:dyDescent="0.25">
      <c r="A234" s="39">
        <v>42488</v>
      </c>
      <c r="B234" s="40">
        <v>46.03</v>
      </c>
    </row>
    <row r="235" spans="1:2" x14ac:dyDescent="0.25">
      <c r="A235" s="39">
        <v>42487</v>
      </c>
      <c r="B235" s="40">
        <v>45.29</v>
      </c>
    </row>
    <row r="236" spans="1:2" x14ac:dyDescent="0.25">
      <c r="A236" s="39">
        <v>42486</v>
      </c>
      <c r="B236" s="40">
        <v>42.52</v>
      </c>
    </row>
    <row r="237" spans="1:2" x14ac:dyDescent="0.25">
      <c r="A237" s="39">
        <v>42485</v>
      </c>
      <c r="B237" s="40">
        <v>41.67</v>
      </c>
    </row>
    <row r="238" spans="1:2" x14ac:dyDescent="0.25">
      <c r="A238" s="39">
        <v>42482</v>
      </c>
      <c r="B238" s="40">
        <v>42.76</v>
      </c>
    </row>
    <row r="239" spans="1:2" x14ac:dyDescent="0.25">
      <c r="A239" s="39">
        <v>42481</v>
      </c>
      <c r="B239" s="40">
        <v>43.18</v>
      </c>
    </row>
    <row r="240" spans="1:2" x14ac:dyDescent="0.25">
      <c r="A240" s="39">
        <v>42480</v>
      </c>
      <c r="B240" s="40">
        <v>42.72</v>
      </c>
    </row>
    <row r="241" spans="1:2" x14ac:dyDescent="0.25">
      <c r="A241" s="39">
        <v>42479</v>
      </c>
      <c r="B241" s="40">
        <v>40.880000000000003</v>
      </c>
    </row>
    <row r="242" spans="1:2" x14ac:dyDescent="0.25">
      <c r="A242" s="39">
        <v>42478</v>
      </c>
      <c r="B242" s="40">
        <v>39.74</v>
      </c>
    </row>
    <row r="243" spans="1:2" x14ac:dyDescent="0.25">
      <c r="A243" s="39">
        <v>42475</v>
      </c>
      <c r="B243" s="40">
        <v>40.4</v>
      </c>
    </row>
    <row r="244" spans="1:2" x14ac:dyDescent="0.25">
      <c r="A244" s="39">
        <v>42474</v>
      </c>
      <c r="B244" s="40">
        <v>41.45</v>
      </c>
    </row>
    <row r="245" spans="1:2" x14ac:dyDescent="0.25">
      <c r="A245" s="39">
        <v>42473</v>
      </c>
      <c r="B245" s="40">
        <v>41.7</v>
      </c>
    </row>
    <row r="246" spans="1:2" x14ac:dyDescent="0.25">
      <c r="A246" s="39">
        <v>42472</v>
      </c>
      <c r="B246" s="40">
        <v>42.12</v>
      </c>
    </row>
    <row r="247" spans="1:2" x14ac:dyDescent="0.25">
      <c r="A247" s="39">
        <v>42471</v>
      </c>
      <c r="B247" s="40">
        <v>40.46</v>
      </c>
    </row>
    <row r="248" spans="1:2" x14ac:dyDescent="0.25">
      <c r="A248" s="39">
        <v>42468</v>
      </c>
      <c r="B248" s="40">
        <v>39.74</v>
      </c>
    </row>
    <row r="249" spans="1:2" x14ac:dyDescent="0.25">
      <c r="A249" s="39">
        <v>42467</v>
      </c>
      <c r="B249" s="40">
        <v>37.299999999999997</v>
      </c>
    </row>
    <row r="250" spans="1:2" x14ac:dyDescent="0.25">
      <c r="A250" s="39">
        <v>42466</v>
      </c>
      <c r="B250" s="40">
        <v>37.74</v>
      </c>
    </row>
    <row r="251" spans="1:2" x14ac:dyDescent="0.25">
      <c r="A251" s="39">
        <v>42465</v>
      </c>
      <c r="B251" s="40">
        <v>34.520000000000003</v>
      </c>
    </row>
    <row r="252" spans="1:2" x14ac:dyDescent="0.25">
      <c r="A252" s="39">
        <v>42464</v>
      </c>
      <c r="B252" s="40">
        <v>34.299999999999997</v>
      </c>
    </row>
    <row r="253" spans="1:2" x14ac:dyDescent="0.25">
      <c r="A253" s="39">
        <v>42461</v>
      </c>
      <c r="B253" s="40">
        <v>35.36</v>
      </c>
    </row>
    <row r="254" spans="1:2" x14ac:dyDescent="0.25">
      <c r="A254" s="39">
        <v>42460</v>
      </c>
      <c r="B254" s="40">
        <v>36.94</v>
      </c>
    </row>
    <row r="255" spans="1:2" x14ac:dyDescent="0.25">
      <c r="A255" s="39">
        <v>42459</v>
      </c>
      <c r="B255" s="40">
        <v>36.909999999999997</v>
      </c>
    </row>
    <row r="256" spans="1:2" x14ac:dyDescent="0.25">
      <c r="A256" s="39">
        <v>42458</v>
      </c>
      <c r="B256" s="40">
        <v>36.909999999999997</v>
      </c>
    </row>
    <row r="257" spans="1:2" x14ac:dyDescent="0.25">
      <c r="A257" s="39">
        <v>42457</v>
      </c>
      <c r="B257" s="40">
        <v>37.99</v>
      </c>
    </row>
    <row r="258" spans="1:2" x14ac:dyDescent="0.25">
      <c r="A258" s="39">
        <v>42453</v>
      </c>
      <c r="B258" s="40">
        <v>38.14</v>
      </c>
    </row>
    <row r="259" spans="1:2" x14ac:dyDescent="0.25">
      <c r="A259" s="39">
        <v>42452</v>
      </c>
      <c r="B259" s="40">
        <v>38.28</v>
      </c>
    </row>
    <row r="260" spans="1:2" x14ac:dyDescent="0.25">
      <c r="A260" s="39">
        <v>42451</v>
      </c>
      <c r="B260" s="40">
        <v>41.45</v>
      </c>
    </row>
    <row r="261" spans="1:2" x14ac:dyDescent="0.25">
      <c r="A261" s="39">
        <v>42450</v>
      </c>
      <c r="B261" s="40">
        <v>39.909999999999997</v>
      </c>
    </row>
    <row r="262" spans="1:2" x14ac:dyDescent="0.25">
      <c r="A262" s="39">
        <v>42447</v>
      </c>
      <c r="B262" s="40">
        <v>39.47</v>
      </c>
    </row>
    <row r="263" spans="1:2" x14ac:dyDescent="0.25">
      <c r="A263" s="39">
        <v>42446</v>
      </c>
      <c r="B263" s="40">
        <v>40.17</v>
      </c>
    </row>
    <row r="264" spans="1:2" x14ac:dyDescent="0.25">
      <c r="A264" s="39">
        <v>42445</v>
      </c>
      <c r="B264" s="40">
        <v>38.43</v>
      </c>
    </row>
    <row r="265" spans="1:2" x14ac:dyDescent="0.25">
      <c r="A265" s="39">
        <v>42444</v>
      </c>
      <c r="B265" s="40">
        <v>36.32</v>
      </c>
    </row>
    <row r="266" spans="1:2" x14ac:dyDescent="0.25">
      <c r="A266" s="39">
        <v>42443</v>
      </c>
      <c r="B266" s="40">
        <v>37.200000000000003</v>
      </c>
    </row>
    <row r="267" spans="1:2" x14ac:dyDescent="0.25">
      <c r="A267" s="39">
        <v>42440</v>
      </c>
      <c r="B267" s="40">
        <v>38.51</v>
      </c>
    </row>
    <row r="268" spans="1:2" x14ac:dyDescent="0.25">
      <c r="A268" s="39">
        <v>42439</v>
      </c>
      <c r="B268" s="40">
        <v>37.770000000000003</v>
      </c>
    </row>
    <row r="269" spans="1:2" x14ac:dyDescent="0.25">
      <c r="A269" s="39">
        <v>42438</v>
      </c>
      <c r="B269" s="40">
        <v>37.619999999999997</v>
      </c>
    </row>
    <row r="270" spans="1:2" x14ac:dyDescent="0.25">
      <c r="A270" s="39">
        <v>42437</v>
      </c>
      <c r="B270" s="40">
        <v>36.67</v>
      </c>
    </row>
    <row r="271" spans="1:2" x14ac:dyDescent="0.25">
      <c r="A271" s="39">
        <v>42436</v>
      </c>
      <c r="B271" s="40">
        <v>37.9</v>
      </c>
    </row>
    <row r="272" spans="1:2" x14ac:dyDescent="0.25">
      <c r="A272" s="39">
        <v>42433</v>
      </c>
      <c r="B272" s="40">
        <v>35.909999999999997</v>
      </c>
    </row>
    <row r="273" spans="1:2" x14ac:dyDescent="0.25">
      <c r="A273" s="39">
        <v>42432</v>
      </c>
      <c r="B273" s="40">
        <v>34.56</v>
      </c>
    </row>
    <row r="274" spans="1:2" x14ac:dyDescent="0.25">
      <c r="A274" s="39">
        <v>42431</v>
      </c>
      <c r="B274" s="40">
        <v>34.57</v>
      </c>
    </row>
    <row r="275" spans="1:2" x14ac:dyDescent="0.25">
      <c r="A275" s="39">
        <v>42430</v>
      </c>
      <c r="B275" s="40">
        <v>34.39</v>
      </c>
    </row>
    <row r="276" spans="1:2" x14ac:dyDescent="0.25">
      <c r="A276" s="39">
        <v>42429</v>
      </c>
      <c r="B276" s="40">
        <v>32.74</v>
      </c>
    </row>
    <row r="277" spans="1:2" x14ac:dyDescent="0.25">
      <c r="A277" s="39">
        <v>42426</v>
      </c>
      <c r="B277" s="40">
        <v>31.65</v>
      </c>
    </row>
    <row r="278" spans="1:2" x14ac:dyDescent="0.25">
      <c r="A278" s="39">
        <v>42425</v>
      </c>
      <c r="B278" s="40">
        <v>31.4</v>
      </c>
    </row>
    <row r="279" spans="1:2" x14ac:dyDescent="0.25">
      <c r="A279" s="39">
        <v>42424</v>
      </c>
      <c r="B279" s="40">
        <v>30.35</v>
      </c>
    </row>
    <row r="280" spans="1:2" x14ac:dyDescent="0.25">
      <c r="A280" s="39">
        <v>42423</v>
      </c>
      <c r="B280" s="40">
        <v>31.84</v>
      </c>
    </row>
    <row r="281" spans="1:2" x14ac:dyDescent="0.25">
      <c r="A281" s="39">
        <v>42422</v>
      </c>
      <c r="B281" s="40">
        <v>31.37</v>
      </c>
    </row>
    <row r="282" spans="1:2" x14ac:dyDescent="0.25">
      <c r="A282" s="39">
        <v>42419</v>
      </c>
      <c r="B282" s="40">
        <v>29.59</v>
      </c>
    </row>
    <row r="283" spans="1:2" x14ac:dyDescent="0.25">
      <c r="A283" s="39">
        <v>42418</v>
      </c>
      <c r="B283" s="40">
        <v>30.77</v>
      </c>
    </row>
    <row r="284" spans="1:2" x14ac:dyDescent="0.25">
      <c r="A284" s="39">
        <v>42417</v>
      </c>
      <c r="B284" s="40">
        <v>30.68</v>
      </c>
    </row>
    <row r="285" spans="1:2" x14ac:dyDescent="0.25">
      <c r="A285" s="39">
        <v>42416</v>
      </c>
      <c r="B285" s="40">
        <v>29.05</v>
      </c>
    </row>
    <row r="286" spans="1:2" x14ac:dyDescent="0.25">
      <c r="A286" s="39">
        <v>42412</v>
      </c>
      <c r="B286" s="40">
        <v>29.32</v>
      </c>
    </row>
    <row r="287" spans="1:2" x14ac:dyDescent="0.25">
      <c r="A287" s="39">
        <v>42411</v>
      </c>
      <c r="B287" s="40">
        <v>26.19</v>
      </c>
    </row>
    <row r="288" spans="1:2" x14ac:dyDescent="0.25">
      <c r="A288" s="39">
        <v>42410</v>
      </c>
      <c r="B288" s="40">
        <v>27.54</v>
      </c>
    </row>
    <row r="289" spans="1:2" x14ac:dyDescent="0.25">
      <c r="A289" s="39">
        <v>42409</v>
      </c>
      <c r="B289" s="40">
        <v>27.96</v>
      </c>
    </row>
    <row r="290" spans="1:2" x14ac:dyDescent="0.25">
      <c r="A290" s="39">
        <v>42408</v>
      </c>
      <c r="B290" s="40">
        <v>29.71</v>
      </c>
    </row>
    <row r="291" spans="1:2" x14ac:dyDescent="0.25">
      <c r="A291" s="39">
        <v>42405</v>
      </c>
      <c r="B291" s="40">
        <v>30.86</v>
      </c>
    </row>
    <row r="292" spans="1:2" x14ac:dyDescent="0.25">
      <c r="A292" s="39">
        <v>42404</v>
      </c>
      <c r="B292" s="40">
        <v>31.63</v>
      </c>
    </row>
    <row r="293" spans="1:2" x14ac:dyDescent="0.25">
      <c r="A293" s="39">
        <v>42403</v>
      </c>
      <c r="B293" s="40">
        <v>32.29</v>
      </c>
    </row>
    <row r="294" spans="1:2" x14ac:dyDescent="0.25">
      <c r="A294" s="39">
        <v>42402</v>
      </c>
      <c r="B294" s="40">
        <v>29.9</v>
      </c>
    </row>
    <row r="295" spans="1:2" x14ac:dyDescent="0.25">
      <c r="A295" s="39">
        <v>42401</v>
      </c>
      <c r="B295" s="40">
        <v>31.62</v>
      </c>
    </row>
    <row r="296" spans="1:2" x14ac:dyDescent="0.25">
      <c r="A296" s="39">
        <v>42398</v>
      </c>
      <c r="B296" s="40">
        <v>33.659999999999997</v>
      </c>
    </row>
    <row r="297" spans="1:2" x14ac:dyDescent="0.25">
      <c r="A297" s="39">
        <v>42397</v>
      </c>
      <c r="B297" s="40">
        <v>33.21</v>
      </c>
    </row>
    <row r="298" spans="1:2" x14ac:dyDescent="0.25">
      <c r="A298" s="39">
        <v>42396</v>
      </c>
      <c r="B298" s="40">
        <v>32.32</v>
      </c>
    </row>
    <row r="299" spans="1:2" x14ac:dyDescent="0.25">
      <c r="A299" s="39">
        <v>42395</v>
      </c>
      <c r="B299" s="40">
        <v>29.54</v>
      </c>
    </row>
    <row r="300" spans="1:2" x14ac:dyDescent="0.25">
      <c r="A300" s="39">
        <v>42394</v>
      </c>
      <c r="B300" s="40">
        <v>30.31</v>
      </c>
    </row>
    <row r="301" spans="1:2" x14ac:dyDescent="0.25">
      <c r="A301" s="39">
        <v>42391</v>
      </c>
      <c r="B301" s="40">
        <v>32.07</v>
      </c>
    </row>
    <row r="302" spans="1:2" x14ac:dyDescent="0.25">
      <c r="A302" s="39">
        <v>42390</v>
      </c>
      <c r="B302" s="40">
        <v>29.55</v>
      </c>
    </row>
    <row r="303" spans="1:2" x14ac:dyDescent="0.25">
      <c r="A303" s="39">
        <v>42389</v>
      </c>
      <c r="B303" s="40">
        <v>26.68</v>
      </c>
    </row>
    <row r="304" spans="1:2" x14ac:dyDescent="0.25">
      <c r="A304" s="39">
        <v>42388</v>
      </c>
      <c r="B304" s="40">
        <v>28.47</v>
      </c>
    </row>
    <row r="305" spans="1:2" x14ac:dyDescent="0.25">
      <c r="A305" s="39">
        <v>42384</v>
      </c>
      <c r="B305" s="40">
        <v>29.45</v>
      </c>
    </row>
    <row r="306" spans="1:2" x14ac:dyDescent="0.25">
      <c r="A306" s="39">
        <v>42383</v>
      </c>
      <c r="B306" s="40">
        <v>31.22</v>
      </c>
    </row>
    <row r="307" spans="1:2" x14ac:dyDescent="0.25">
      <c r="A307" s="39">
        <v>42382</v>
      </c>
      <c r="B307" s="40">
        <v>30.42</v>
      </c>
    </row>
    <row r="308" spans="1:2" x14ac:dyDescent="0.25">
      <c r="A308" s="39">
        <v>42381</v>
      </c>
      <c r="B308" s="40">
        <v>30.42</v>
      </c>
    </row>
    <row r="309" spans="1:2" x14ac:dyDescent="0.25">
      <c r="A309" s="39">
        <v>42380</v>
      </c>
      <c r="B309" s="40">
        <v>31.42</v>
      </c>
    </row>
    <row r="310" spans="1:2" x14ac:dyDescent="0.25">
      <c r="A310" s="39">
        <v>42377</v>
      </c>
      <c r="B310" s="40">
        <v>33.200000000000003</v>
      </c>
    </row>
    <row r="311" spans="1:2" x14ac:dyDescent="0.25">
      <c r="A311" s="39">
        <v>42376</v>
      </c>
      <c r="B311" s="40">
        <v>33.29</v>
      </c>
    </row>
    <row r="312" spans="1:2" x14ac:dyDescent="0.25">
      <c r="A312" s="39">
        <v>42375</v>
      </c>
      <c r="B312" s="40">
        <v>33.97</v>
      </c>
    </row>
    <row r="313" spans="1:2" x14ac:dyDescent="0.25">
      <c r="A313" s="39">
        <v>42374</v>
      </c>
      <c r="B313" s="40">
        <v>35.97</v>
      </c>
    </row>
    <row r="314" spans="1:2" x14ac:dyDescent="0.25">
      <c r="A314" s="39">
        <v>42373</v>
      </c>
      <c r="B314" s="40">
        <v>36.81</v>
      </c>
    </row>
    <row r="315" spans="1:2" x14ac:dyDescent="0.25">
      <c r="A315" s="39">
        <v>42369</v>
      </c>
      <c r="B315" s="40">
        <v>37.130000000000003</v>
      </c>
    </row>
    <row r="316" spans="1:2" x14ac:dyDescent="0.25">
      <c r="A316" s="39">
        <v>42368</v>
      </c>
      <c r="B316" s="40">
        <v>36.590000000000003</v>
      </c>
    </row>
    <row r="317" spans="1:2" x14ac:dyDescent="0.25">
      <c r="A317" s="39">
        <v>42367</v>
      </c>
      <c r="B317" s="40">
        <v>37.880000000000003</v>
      </c>
    </row>
    <row r="318" spans="1:2" x14ac:dyDescent="0.25">
      <c r="A318" s="39">
        <v>42366</v>
      </c>
      <c r="B318" s="40">
        <v>36.36</v>
      </c>
    </row>
    <row r="319" spans="1:2" x14ac:dyDescent="0.25">
      <c r="A319" s="39">
        <v>42362</v>
      </c>
      <c r="B319" s="40">
        <v>37.619999999999997</v>
      </c>
    </row>
    <row r="320" spans="1:2" x14ac:dyDescent="0.25">
      <c r="A320" s="39">
        <v>42361</v>
      </c>
      <c r="B320" s="40">
        <v>36.76</v>
      </c>
    </row>
    <row r="321" spans="1:2" x14ac:dyDescent="0.25">
      <c r="A321" s="39">
        <v>42360</v>
      </c>
      <c r="B321" s="40">
        <v>36.119999999999997</v>
      </c>
    </row>
    <row r="322" spans="1:2" x14ac:dyDescent="0.25">
      <c r="A322" s="39">
        <v>42359</v>
      </c>
      <c r="B322" s="40">
        <v>34.549999999999997</v>
      </c>
    </row>
    <row r="323" spans="1:2" x14ac:dyDescent="0.25">
      <c r="A323" s="39">
        <v>42356</v>
      </c>
      <c r="B323" s="40">
        <v>34.72</v>
      </c>
    </row>
    <row r="324" spans="1:2" x14ac:dyDescent="0.25">
      <c r="A324" s="39">
        <v>42355</v>
      </c>
      <c r="B324" s="40">
        <v>34.979999999999997</v>
      </c>
    </row>
    <row r="325" spans="1:2" x14ac:dyDescent="0.25">
      <c r="A325" s="39">
        <v>42354</v>
      </c>
      <c r="B325" s="40">
        <v>35.549999999999997</v>
      </c>
    </row>
    <row r="326" spans="1:2" x14ac:dyDescent="0.25">
      <c r="A326" s="39">
        <v>42353</v>
      </c>
      <c r="B326" s="40">
        <v>37.32</v>
      </c>
    </row>
    <row r="327" spans="1:2" x14ac:dyDescent="0.25">
      <c r="A327" s="39">
        <v>42352</v>
      </c>
      <c r="B327" s="40">
        <v>36.31</v>
      </c>
    </row>
    <row r="328" spans="1:2" x14ac:dyDescent="0.25">
      <c r="A328" s="39">
        <v>42349</v>
      </c>
      <c r="B328" s="40">
        <v>35.65</v>
      </c>
    </row>
    <row r="329" spans="1:2" x14ac:dyDescent="0.25">
      <c r="A329" s="39">
        <v>42348</v>
      </c>
      <c r="B329" s="40">
        <v>36.76</v>
      </c>
    </row>
    <row r="330" spans="1:2" x14ac:dyDescent="0.25">
      <c r="A330" s="39">
        <v>42347</v>
      </c>
      <c r="B330" s="40">
        <v>37.159999999999997</v>
      </c>
    </row>
    <row r="331" spans="1:2" x14ac:dyDescent="0.25">
      <c r="A331" s="39">
        <v>42346</v>
      </c>
      <c r="B331" s="40">
        <v>37.46</v>
      </c>
    </row>
    <row r="332" spans="1:2" x14ac:dyDescent="0.25">
      <c r="A332" s="39">
        <v>42345</v>
      </c>
      <c r="B332" s="40">
        <v>37.64</v>
      </c>
    </row>
    <row r="333" spans="1:2" x14ac:dyDescent="0.25">
      <c r="A333" s="39">
        <v>42342</v>
      </c>
      <c r="B333" s="40">
        <v>40</v>
      </c>
    </row>
    <row r="334" spans="1:2" x14ac:dyDescent="0.25">
      <c r="A334" s="39">
        <v>42341</v>
      </c>
      <c r="B334" s="40">
        <v>41.08</v>
      </c>
    </row>
    <row r="335" spans="1:2" x14ac:dyDescent="0.25">
      <c r="A335" s="39">
        <v>42340</v>
      </c>
      <c r="B335" s="40">
        <v>39.93</v>
      </c>
    </row>
    <row r="336" spans="1:2" x14ac:dyDescent="0.25">
      <c r="A336" s="39">
        <v>42339</v>
      </c>
      <c r="B336" s="40">
        <v>40.58</v>
      </c>
    </row>
    <row r="337" spans="1:2" x14ac:dyDescent="0.25">
      <c r="A337" s="39">
        <v>42338</v>
      </c>
      <c r="B337" s="40">
        <v>40.43</v>
      </c>
    </row>
    <row r="338" spans="1:2" x14ac:dyDescent="0.25">
      <c r="A338" s="39">
        <v>42335</v>
      </c>
      <c r="B338" s="40">
        <v>40.57</v>
      </c>
    </row>
    <row r="339" spans="1:2" x14ac:dyDescent="0.25">
      <c r="A339" s="39">
        <v>42333</v>
      </c>
      <c r="B339" s="40">
        <v>41.22</v>
      </c>
    </row>
    <row r="340" spans="1:2" x14ac:dyDescent="0.25">
      <c r="A340" s="39">
        <v>42332</v>
      </c>
      <c r="B340" s="40">
        <v>40.89</v>
      </c>
    </row>
    <row r="341" spans="1:2" x14ac:dyDescent="0.25">
      <c r="A341" s="39">
        <v>42331</v>
      </c>
      <c r="B341" s="40">
        <v>39.270000000000003</v>
      </c>
    </row>
    <row r="342" spans="1:2" x14ac:dyDescent="0.25">
      <c r="A342" s="39">
        <v>42328</v>
      </c>
      <c r="B342" s="40">
        <v>39.39</v>
      </c>
    </row>
    <row r="343" spans="1:2" x14ac:dyDescent="0.25">
      <c r="A343" s="39">
        <v>42327</v>
      </c>
      <c r="B343" s="40">
        <v>40.549999999999997</v>
      </c>
    </row>
    <row r="344" spans="1:2" x14ac:dyDescent="0.25">
      <c r="A344" s="39">
        <v>42326</v>
      </c>
      <c r="B344" s="40">
        <v>40.75</v>
      </c>
    </row>
    <row r="345" spans="1:2" x14ac:dyDescent="0.25">
      <c r="A345" s="39">
        <v>42325</v>
      </c>
      <c r="B345" s="40">
        <v>40.729999999999997</v>
      </c>
    </row>
    <row r="346" spans="1:2" x14ac:dyDescent="0.25">
      <c r="A346" s="39">
        <v>42324</v>
      </c>
      <c r="B346" s="40">
        <v>41.68</v>
      </c>
    </row>
    <row r="347" spans="1:2" x14ac:dyDescent="0.25">
      <c r="A347" s="39">
        <v>42321</v>
      </c>
      <c r="B347" s="40">
        <v>40.69</v>
      </c>
    </row>
    <row r="348" spans="1:2" x14ac:dyDescent="0.25">
      <c r="A348" s="39">
        <v>42320</v>
      </c>
      <c r="B348" s="40">
        <v>41.74</v>
      </c>
    </row>
    <row r="349" spans="1:2" x14ac:dyDescent="0.25">
      <c r="A349" s="39">
        <v>42319</v>
      </c>
      <c r="B349" s="40">
        <v>42.95</v>
      </c>
    </row>
    <row r="350" spans="1:2" x14ac:dyDescent="0.25">
      <c r="A350" s="39">
        <v>42318</v>
      </c>
      <c r="B350" s="40">
        <v>44.23</v>
      </c>
    </row>
    <row r="351" spans="1:2" x14ac:dyDescent="0.25">
      <c r="A351" s="39">
        <v>42317</v>
      </c>
      <c r="B351" s="40">
        <v>43.87</v>
      </c>
    </row>
    <row r="352" spans="1:2" x14ac:dyDescent="0.25">
      <c r="A352" s="39">
        <v>42314</v>
      </c>
      <c r="B352" s="40">
        <v>44.32</v>
      </c>
    </row>
    <row r="353" spans="1:2" x14ac:dyDescent="0.25">
      <c r="A353" s="39">
        <v>42313</v>
      </c>
      <c r="B353" s="40">
        <v>45.27</v>
      </c>
    </row>
    <row r="354" spans="1:2" x14ac:dyDescent="0.25">
      <c r="A354" s="39">
        <v>42312</v>
      </c>
      <c r="B354" s="40">
        <v>46.32</v>
      </c>
    </row>
    <row r="355" spans="1:2" x14ac:dyDescent="0.25">
      <c r="A355" s="39">
        <v>42311</v>
      </c>
      <c r="B355" s="40">
        <v>47.88</v>
      </c>
    </row>
    <row r="356" spans="1:2" x14ac:dyDescent="0.25">
      <c r="A356" s="39">
        <v>42310</v>
      </c>
      <c r="B356" s="40">
        <v>46.12</v>
      </c>
    </row>
    <row r="357" spans="1:2" x14ac:dyDescent="0.25">
      <c r="A357" s="39">
        <v>42307</v>
      </c>
      <c r="B357" s="40">
        <v>46.6</v>
      </c>
    </row>
    <row r="358" spans="1:2" x14ac:dyDescent="0.25">
      <c r="A358" s="39">
        <v>42306</v>
      </c>
      <c r="B358" s="40">
        <v>46.02</v>
      </c>
    </row>
    <row r="359" spans="1:2" x14ac:dyDescent="0.25">
      <c r="A359" s="39">
        <v>42305</v>
      </c>
      <c r="B359" s="40">
        <v>45.93</v>
      </c>
    </row>
    <row r="360" spans="1:2" x14ac:dyDescent="0.25">
      <c r="A360" s="39">
        <v>42304</v>
      </c>
      <c r="B360" s="40">
        <v>43.21</v>
      </c>
    </row>
    <row r="361" spans="1:2" x14ac:dyDescent="0.25">
      <c r="A361" s="39">
        <v>42303</v>
      </c>
      <c r="B361" s="40">
        <v>43.19</v>
      </c>
    </row>
    <row r="362" spans="1:2" x14ac:dyDescent="0.25">
      <c r="A362" s="39">
        <v>42300</v>
      </c>
      <c r="B362" s="40">
        <v>43.91</v>
      </c>
    </row>
    <row r="363" spans="1:2" x14ac:dyDescent="0.25">
      <c r="A363" s="39">
        <v>42299</v>
      </c>
      <c r="B363" s="40">
        <v>44.9</v>
      </c>
    </row>
    <row r="364" spans="1:2" x14ac:dyDescent="0.25">
      <c r="A364" s="39">
        <v>42298</v>
      </c>
      <c r="B364" s="40">
        <v>45.22</v>
      </c>
    </row>
    <row r="365" spans="1:2" x14ac:dyDescent="0.25">
      <c r="A365" s="39">
        <v>42297</v>
      </c>
      <c r="B365" s="40">
        <v>45.84</v>
      </c>
    </row>
    <row r="366" spans="1:2" x14ac:dyDescent="0.25">
      <c r="A366" s="39">
        <v>42296</v>
      </c>
      <c r="B366" s="40">
        <v>45.91</v>
      </c>
    </row>
    <row r="367" spans="1:2" x14ac:dyDescent="0.25">
      <c r="A367" s="39">
        <v>42293</v>
      </c>
      <c r="B367" s="40">
        <v>47.3</v>
      </c>
    </row>
    <row r="368" spans="1:2" x14ac:dyDescent="0.25">
      <c r="A368" s="39">
        <v>42292</v>
      </c>
      <c r="B368" s="40">
        <v>46.38</v>
      </c>
    </row>
    <row r="369" spans="1:2" x14ac:dyDescent="0.25">
      <c r="A369" s="39">
        <v>42291</v>
      </c>
      <c r="B369" s="40">
        <v>46.63</v>
      </c>
    </row>
    <row r="370" spans="1:2" x14ac:dyDescent="0.25">
      <c r="A370" s="39">
        <v>42290</v>
      </c>
      <c r="B370" s="40">
        <v>46.7</v>
      </c>
    </row>
    <row r="371" spans="1:2" x14ac:dyDescent="0.25">
      <c r="A371" s="39">
        <v>42289</v>
      </c>
      <c r="B371" s="40">
        <v>47.09</v>
      </c>
    </row>
    <row r="372" spans="1:2" x14ac:dyDescent="0.25">
      <c r="A372" s="39">
        <v>42286</v>
      </c>
      <c r="B372" s="40">
        <v>49.67</v>
      </c>
    </row>
    <row r="373" spans="1:2" x14ac:dyDescent="0.25">
      <c r="A373" s="39">
        <v>42285</v>
      </c>
      <c r="B373" s="40">
        <v>49.46</v>
      </c>
    </row>
    <row r="374" spans="1:2" x14ac:dyDescent="0.25">
      <c r="A374" s="39">
        <v>42284</v>
      </c>
      <c r="B374" s="40">
        <v>47.86</v>
      </c>
    </row>
    <row r="375" spans="1:2" x14ac:dyDescent="0.25">
      <c r="A375" s="39">
        <v>42283</v>
      </c>
      <c r="B375" s="40">
        <v>48.53</v>
      </c>
    </row>
    <row r="376" spans="1:2" x14ac:dyDescent="0.25">
      <c r="A376" s="39">
        <v>42282</v>
      </c>
      <c r="B376" s="40">
        <v>46.28</v>
      </c>
    </row>
    <row r="377" spans="1:2" x14ac:dyDescent="0.25">
      <c r="A377" s="39">
        <v>42279</v>
      </c>
      <c r="B377" s="40">
        <v>45.54</v>
      </c>
    </row>
    <row r="378" spans="1:2" x14ac:dyDescent="0.25">
      <c r="A378" s="39">
        <v>42278</v>
      </c>
      <c r="B378" s="40">
        <v>44.75</v>
      </c>
    </row>
    <row r="379" spans="1:2" x14ac:dyDescent="0.25">
      <c r="A379" s="39">
        <v>42277</v>
      </c>
      <c r="B379" s="40">
        <v>45.06</v>
      </c>
    </row>
    <row r="380" spans="1:2" x14ac:dyDescent="0.25">
      <c r="A380" s="39">
        <v>42276</v>
      </c>
      <c r="B380" s="40">
        <v>45.24</v>
      </c>
    </row>
    <row r="381" spans="1:2" x14ac:dyDescent="0.25">
      <c r="A381" s="39">
        <v>42275</v>
      </c>
      <c r="B381" s="40">
        <v>44.4</v>
      </c>
    </row>
    <row r="382" spans="1:2" x14ac:dyDescent="0.25">
      <c r="A382" s="39">
        <v>42272</v>
      </c>
      <c r="B382" s="40">
        <v>45.55</v>
      </c>
    </row>
    <row r="383" spans="1:2" x14ac:dyDescent="0.25">
      <c r="A383" s="39">
        <v>42271</v>
      </c>
      <c r="B383" s="40">
        <v>44.94</v>
      </c>
    </row>
    <row r="384" spans="1:2" x14ac:dyDescent="0.25">
      <c r="A384" s="39">
        <v>42270</v>
      </c>
      <c r="B384" s="40">
        <v>44.53</v>
      </c>
    </row>
    <row r="385" spans="1:2" x14ac:dyDescent="0.25">
      <c r="A385" s="39">
        <v>42269</v>
      </c>
      <c r="B385" s="40">
        <v>46.17</v>
      </c>
    </row>
    <row r="386" spans="1:2" x14ac:dyDescent="0.25">
      <c r="A386" s="39">
        <v>42268</v>
      </c>
      <c r="B386" s="40">
        <v>46.67</v>
      </c>
    </row>
    <row r="387" spans="1:2" x14ac:dyDescent="0.25">
      <c r="A387" s="39">
        <v>42265</v>
      </c>
      <c r="B387" s="40">
        <v>44.71</v>
      </c>
    </row>
    <row r="388" spans="1:2" x14ac:dyDescent="0.25">
      <c r="A388" s="39">
        <v>42264</v>
      </c>
      <c r="B388" s="40">
        <v>46.93</v>
      </c>
    </row>
    <row r="389" spans="1:2" x14ac:dyDescent="0.25">
      <c r="A389" s="39">
        <v>42263</v>
      </c>
      <c r="B389" s="40">
        <v>47.12</v>
      </c>
    </row>
    <row r="390" spans="1:2" x14ac:dyDescent="0.25">
      <c r="A390" s="39">
        <v>42262</v>
      </c>
      <c r="B390" s="40">
        <v>44.58</v>
      </c>
    </row>
    <row r="391" spans="1:2" x14ac:dyDescent="0.25">
      <c r="A391" s="39">
        <v>42261</v>
      </c>
      <c r="B391" s="40">
        <v>44.07</v>
      </c>
    </row>
    <row r="392" spans="1:2" x14ac:dyDescent="0.25">
      <c r="A392" s="39">
        <v>42258</v>
      </c>
      <c r="B392" s="40">
        <v>44.75</v>
      </c>
    </row>
    <row r="393" spans="1:2" x14ac:dyDescent="0.25">
      <c r="A393" s="39">
        <v>42257</v>
      </c>
      <c r="B393" s="40">
        <v>45.85</v>
      </c>
    </row>
    <row r="394" spans="1:2" x14ac:dyDescent="0.25">
      <c r="A394" s="39">
        <v>42256</v>
      </c>
      <c r="B394" s="40">
        <v>44.13</v>
      </c>
    </row>
    <row r="395" spans="1:2" x14ac:dyDescent="0.25">
      <c r="A395" s="39">
        <v>42255</v>
      </c>
      <c r="B395" s="40">
        <v>45.92</v>
      </c>
    </row>
    <row r="396" spans="1:2" x14ac:dyDescent="0.25">
      <c r="A396" s="39">
        <v>42251</v>
      </c>
      <c r="B396" s="40">
        <v>46.02</v>
      </c>
    </row>
    <row r="397" spans="1:2" x14ac:dyDescent="0.25">
      <c r="A397" s="39">
        <v>42250</v>
      </c>
      <c r="B397" s="40">
        <v>46.75</v>
      </c>
    </row>
    <row r="398" spans="1:2" x14ac:dyDescent="0.25">
      <c r="A398" s="39">
        <v>42249</v>
      </c>
      <c r="B398" s="40">
        <v>46.3</v>
      </c>
    </row>
    <row r="399" spans="1:2" x14ac:dyDescent="0.25">
      <c r="A399" s="39">
        <v>42248</v>
      </c>
      <c r="B399" s="40">
        <v>45.38</v>
      </c>
    </row>
    <row r="400" spans="1:2" x14ac:dyDescent="0.25">
      <c r="A400" s="39">
        <v>42247</v>
      </c>
      <c r="B400" s="40">
        <v>49.2</v>
      </c>
    </row>
    <row r="401" spans="1:2" x14ac:dyDescent="0.25">
      <c r="A401" s="39">
        <v>42244</v>
      </c>
      <c r="B401" s="40">
        <v>45.29</v>
      </c>
    </row>
    <row r="402" spans="1:2" x14ac:dyDescent="0.25">
      <c r="A402" s="39">
        <v>42243</v>
      </c>
      <c r="B402" s="40">
        <v>42.47</v>
      </c>
    </row>
    <row r="403" spans="1:2" x14ac:dyDescent="0.25">
      <c r="A403" s="39">
        <v>42242</v>
      </c>
      <c r="B403" s="40">
        <v>38.5</v>
      </c>
    </row>
    <row r="404" spans="1:2" x14ac:dyDescent="0.25">
      <c r="A404" s="39">
        <v>42241</v>
      </c>
      <c r="B404" s="40">
        <v>39.15</v>
      </c>
    </row>
    <row r="405" spans="1:2" x14ac:dyDescent="0.25">
      <c r="A405" s="39">
        <v>42240</v>
      </c>
      <c r="B405" s="40">
        <v>38.22</v>
      </c>
    </row>
    <row r="406" spans="1:2" x14ac:dyDescent="0.25">
      <c r="A406" s="39">
        <v>42237</v>
      </c>
      <c r="B406" s="40">
        <v>40.450000000000003</v>
      </c>
    </row>
    <row r="407" spans="1:2" x14ac:dyDescent="0.25">
      <c r="A407" s="39">
        <v>42236</v>
      </c>
      <c r="B407" s="40">
        <v>41</v>
      </c>
    </row>
    <row r="408" spans="1:2" x14ac:dyDescent="0.25">
      <c r="A408" s="39">
        <v>42235</v>
      </c>
      <c r="B408" s="40">
        <v>40.75</v>
      </c>
    </row>
    <row r="409" spans="1:2" x14ac:dyDescent="0.25">
      <c r="A409" s="39">
        <v>42234</v>
      </c>
      <c r="B409" s="40">
        <v>42.58</v>
      </c>
    </row>
    <row r="410" spans="1:2" x14ac:dyDescent="0.25">
      <c r="A410" s="39">
        <v>42233</v>
      </c>
      <c r="B410" s="40">
        <v>41.93</v>
      </c>
    </row>
    <row r="411" spans="1:2" x14ac:dyDescent="0.25">
      <c r="A411" s="39">
        <v>42230</v>
      </c>
      <c r="B411" s="40">
        <v>42.45</v>
      </c>
    </row>
    <row r="412" spans="1:2" x14ac:dyDescent="0.25">
      <c r="A412" s="39">
        <v>42229</v>
      </c>
      <c r="B412" s="40">
        <v>42.27</v>
      </c>
    </row>
    <row r="413" spans="1:2" x14ac:dyDescent="0.25">
      <c r="A413" s="39">
        <v>42228</v>
      </c>
      <c r="B413" s="40">
        <v>43.22</v>
      </c>
    </row>
    <row r="414" spans="1:2" x14ac:dyDescent="0.25">
      <c r="A414" s="39">
        <v>42227</v>
      </c>
      <c r="B414" s="40">
        <v>43.11</v>
      </c>
    </row>
    <row r="415" spans="1:2" x14ac:dyDescent="0.25">
      <c r="A415" s="39">
        <v>42226</v>
      </c>
      <c r="B415" s="40">
        <v>44.94</v>
      </c>
    </row>
    <row r="416" spans="1:2" x14ac:dyDescent="0.25">
      <c r="A416" s="39">
        <v>42223</v>
      </c>
      <c r="B416" s="40">
        <v>43.87</v>
      </c>
    </row>
    <row r="417" spans="1:2" x14ac:dyDescent="0.25">
      <c r="A417" s="39">
        <v>42222</v>
      </c>
      <c r="B417" s="40">
        <v>44.69</v>
      </c>
    </row>
    <row r="418" spans="1:2" x14ac:dyDescent="0.25">
      <c r="A418" s="39">
        <v>42221</v>
      </c>
      <c r="B418" s="40">
        <v>45.13</v>
      </c>
    </row>
    <row r="419" spans="1:2" x14ac:dyDescent="0.25">
      <c r="A419" s="39">
        <v>42220</v>
      </c>
      <c r="B419" s="40">
        <v>45.75</v>
      </c>
    </row>
    <row r="420" spans="1:2" x14ac:dyDescent="0.25">
      <c r="A420" s="39">
        <v>42219</v>
      </c>
      <c r="B420" s="40">
        <v>45.25</v>
      </c>
    </row>
    <row r="421" spans="1:2" x14ac:dyDescent="0.25">
      <c r="A421" s="39">
        <v>42216</v>
      </c>
      <c r="B421" s="40">
        <v>47.11</v>
      </c>
    </row>
    <row r="422" spans="1:2" x14ac:dyDescent="0.25">
      <c r="A422" s="39">
        <v>42215</v>
      </c>
      <c r="B422" s="40">
        <v>48.53</v>
      </c>
    </row>
    <row r="423" spans="1:2" x14ac:dyDescent="0.25">
      <c r="A423" s="39">
        <v>42214</v>
      </c>
      <c r="B423" s="40">
        <v>48.77</v>
      </c>
    </row>
    <row r="424" spans="1:2" x14ac:dyDescent="0.25">
      <c r="A424" s="39">
        <v>42213</v>
      </c>
      <c r="B424" s="40">
        <v>47.97</v>
      </c>
    </row>
    <row r="425" spans="1:2" x14ac:dyDescent="0.25">
      <c r="A425" s="39">
        <v>42212</v>
      </c>
      <c r="B425" s="40">
        <v>47.17</v>
      </c>
    </row>
    <row r="426" spans="1:2" x14ac:dyDescent="0.25">
      <c r="A426" s="39">
        <v>42209</v>
      </c>
      <c r="B426" s="40">
        <v>47.98</v>
      </c>
    </row>
    <row r="427" spans="1:2" x14ac:dyDescent="0.25">
      <c r="A427" s="39">
        <v>42208</v>
      </c>
      <c r="B427" s="40">
        <v>48.11</v>
      </c>
    </row>
    <row r="428" spans="1:2" x14ac:dyDescent="0.25">
      <c r="A428" s="39">
        <v>42207</v>
      </c>
      <c r="B428" s="40">
        <v>49.27</v>
      </c>
    </row>
    <row r="429" spans="1:2" x14ac:dyDescent="0.25">
      <c r="A429" s="39">
        <v>42206</v>
      </c>
      <c r="B429" s="40">
        <v>50.59</v>
      </c>
    </row>
    <row r="430" spans="1:2" x14ac:dyDescent="0.25">
      <c r="A430" s="39">
        <v>42205</v>
      </c>
      <c r="B430" s="40">
        <v>50.11</v>
      </c>
    </row>
    <row r="431" spans="1:2" x14ac:dyDescent="0.25">
      <c r="A431" s="39">
        <v>42202</v>
      </c>
      <c r="B431" s="40">
        <v>50.88</v>
      </c>
    </row>
    <row r="432" spans="1:2" x14ac:dyDescent="0.25">
      <c r="A432" s="39">
        <v>42201</v>
      </c>
      <c r="B432" s="40">
        <v>50.9</v>
      </c>
    </row>
    <row r="433" spans="1:2" x14ac:dyDescent="0.25">
      <c r="A433" s="39">
        <v>42200</v>
      </c>
      <c r="B433" s="40">
        <v>51.4</v>
      </c>
    </row>
    <row r="434" spans="1:2" x14ac:dyDescent="0.25">
      <c r="A434" s="39">
        <v>42199</v>
      </c>
      <c r="B434" s="40">
        <v>53.05</v>
      </c>
    </row>
    <row r="435" spans="1:2" x14ac:dyDescent="0.25">
      <c r="A435" s="39">
        <v>42198</v>
      </c>
      <c r="B435" s="40">
        <v>52.19</v>
      </c>
    </row>
    <row r="436" spans="1:2" x14ac:dyDescent="0.25">
      <c r="A436" s="39">
        <v>42195</v>
      </c>
      <c r="B436" s="40">
        <v>52.74</v>
      </c>
    </row>
    <row r="437" spans="1:2" x14ac:dyDescent="0.25">
      <c r="A437" s="39">
        <v>42194</v>
      </c>
      <c r="B437" s="40">
        <v>52.76</v>
      </c>
    </row>
    <row r="438" spans="1:2" x14ac:dyDescent="0.25">
      <c r="A438" s="39">
        <v>42193</v>
      </c>
      <c r="B438" s="40">
        <v>51.61</v>
      </c>
    </row>
    <row r="439" spans="1:2" x14ac:dyDescent="0.25">
      <c r="A439" s="39">
        <v>42192</v>
      </c>
      <c r="B439" s="40">
        <v>52.33</v>
      </c>
    </row>
    <row r="440" spans="1:2" x14ac:dyDescent="0.25">
      <c r="A440" s="39">
        <v>42191</v>
      </c>
      <c r="B440" s="40">
        <v>52.48</v>
      </c>
    </row>
    <row r="441" spans="1:2" x14ac:dyDescent="0.25">
      <c r="A441" s="39">
        <v>42187</v>
      </c>
      <c r="B441" s="40">
        <v>56.93</v>
      </c>
    </row>
    <row r="442" spans="1:2" x14ac:dyDescent="0.25">
      <c r="A442" s="39">
        <v>42186</v>
      </c>
      <c r="B442" s="40">
        <v>56.94</v>
      </c>
    </row>
    <row r="443" spans="1:2" x14ac:dyDescent="0.25">
      <c r="A443" s="39">
        <v>42185</v>
      </c>
      <c r="B443" s="40">
        <v>59.48</v>
      </c>
    </row>
    <row r="444" spans="1:2" x14ac:dyDescent="0.25">
      <c r="A444" s="39">
        <v>42184</v>
      </c>
      <c r="B444" s="40">
        <v>58.34</v>
      </c>
    </row>
    <row r="445" spans="1:2" x14ac:dyDescent="0.25">
      <c r="A445" s="39">
        <v>42181</v>
      </c>
      <c r="B445" s="40">
        <v>59.41</v>
      </c>
    </row>
    <row r="446" spans="1:2" x14ac:dyDescent="0.25">
      <c r="A446" s="39">
        <v>42180</v>
      </c>
      <c r="B446" s="40">
        <v>59.59</v>
      </c>
    </row>
    <row r="447" spans="1:2" x14ac:dyDescent="0.25">
      <c r="A447" s="39">
        <v>42179</v>
      </c>
      <c r="B447" s="40">
        <v>60.01</v>
      </c>
    </row>
    <row r="448" spans="1:2" x14ac:dyDescent="0.25">
      <c r="A448" s="39">
        <v>42178</v>
      </c>
      <c r="B448" s="40">
        <v>61.05</v>
      </c>
    </row>
    <row r="449" spans="1:2" x14ac:dyDescent="0.25">
      <c r="A449" s="39">
        <v>42177</v>
      </c>
      <c r="B449" s="40">
        <v>60.01</v>
      </c>
    </row>
    <row r="450" spans="1:2" x14ac:dyDescent="0.25">
      <c r="A450" s="39">
        <v>42174</v>
      </c>
      <c r="B450" s="40">
        <v>59.62</v>
      </c>
    </row>
    <row r="451" spans="1:2" x14ac:dyDescent="0.25">
      <c r="A451" s="39">
        <v>42173</v>
      </c>
      <c r="B451" s="40">
        <v>60.41</v>
      </c>
    </row>
    <row r="452" spans="1:2" x14ac:dyDescent="0.25">
      <c r="A452" s="39">
        <v>42172</v>
      </c>
      <c r="B452" s="40">
        <v>59.89</v>
      </c>
    </row>
    <row r="453" spans="1:2" x14ac:dyDescent="0.25">
      <c r="A453" s="39">
        <v>42171</v>
      </c>
      <c r="B453" s="40">
        <v>60.01</v>
      </c>
    </row>
    <row r="454" spans="1:2" x14ac:dyDescent="0.25">
      <c r="A454" s="39">
        <v>42170</v>
      </c>
      <c r="B454" s="40">
        <v>59.53</v>
      </c>
    </row>
    <row r="455" spans="1:2" x14ac:dyDescent="0.25">
      <c r="A455" s="39">
        <v>42167</v>
      </c>
      <c r="B455" s="40">
        <v>59.96</v>
      </c>
    </row>
    <row r="456" spans="1:2" x14ac:dyDescent="0.25">
      <c r="A456" s="39">
        <v>42166</v>
      </c>
      <c r="B456" s="40">
        <v>60.74</v>
      </c>
    </row>
    <row r="457" spans="1:2" x14ac:dyDescent="0.25">
      <c r="A457" s="39">
        <v>42165</v>
      </c>
      <c r="B457" s="40">
        <v>61.36</v>
      </c>
    </row>
    <row r="458" spans="1:2" x14ac:dyDescent="0.25">
      <c r="A458" s="39">
        <v>42164</v>
      </c>
      <c r="B458" s="40">
        <v>60.15</v>
      </c>
    </row>
    <row r="459" spans="1:2" x14ac:dyDescent="0.25">
      <c r="A459" s="39">
        <v>42163</v>
      </c>
      <c r="B459" s="40">
        <v>58.15</v>
      </c>
    </row>
    <row r="460" spans="1:2" x14ac:dyDescent="0.25">
      <c r="A460" s="39">
        <v>42160</v>
      </c>
      <c r="B460" s="40">
        <v>59.11</v>
      </c>
    </row>
    <row r="461" spans="1:2" x14ac:dyDescent="0.25">
      <c r="A461" s="39">
        <v>42159</v>
      </c>
      <c r="B461" s="40">
        <v>58</v>
      </c>
    </row>
    <row r="462" spans="1:2" x14ac:dyDescent="0.25">
      <c r="A462" s="39">
        <v>42158</v>
      </c>
      <c r="B462" s="40">
        <v>59.67</v>
      </c>
    </row>
    <row r="463" spans="1:2" x14ac:dyDescent="0.25">
      <c r="A463" s="39">
        <v>42157</v>
      </c>
      <c r="B463" s="40">
        <v>61.3</v>
      </c>
    </row>
    <row r="464" spans="1:2" x14ac:dyDescent="0.25">
      <c r="A464" s="39">
        <v>42156</v>
      </c>
      <c r="B464" s="40">
        <v>60.24</v>
      </c>
    </row>
    <row r="465" spans="1:2" x14ac:dyDescent="0.25">
      <c r="A465" s="39">
        <v>42153</v>
      </c>
      <c r="B465" s="40">
        <v>60.25</v>
      </c>
    </row>
    <row r="466" spans="1:2" x14ac:dyDescent="0.25">
      <c r="A466" s="39">
        <v>42152</v>
      </c>
      <c r="B466" s="40">
        <v>57.69</v>
      </c>
    </row>
    <row r="467" spans="1:2" x14ac:dyDescent="0.25">
      <c r="A467" s="39">
        <v>42151</v>
      </c>
      <c r="B467" s="40">
        <v>57.51</v>
      </c>
    </row>
    <row r="468" spans="1:2" x14ac:dyDescent="0.25">
      <c r="A468" s="39">
        <v>42150</v>
      </c>
      <c r="B468" s="40">
        <v>57.29</v>
      </c>
    </row>
    <row r="469" spans="1:2" x14ac:dyDescent="0.25">
      <c r="A469" s="39">
        <v>42146</v>
      </c>
      <c r="B469" s="40">
        <v>58.88</v>
      </c>
    </row>
    <row r="470" spans="1:2" x14ac:dyDescent="0.25">
      <c r="A470" s="39">
        <v>42145</v>
      </c>
      <c r="B470" s="40">
        <v>60.18</v>
      </c>
    </row>
    <row r="471" spans="1:2" x14ac:dyDescent="0.25">
      <c r="A471" s="39">
        <v>42144</v>
      </c>
      <c r="B471" s="40">
        <v>58.96</v>
      </c>
    </row>
    <row r="472" spans="1:2" x14ac:dyDescent="0.25">
      <c r="A472" s="39">
        <v>42143</v>
      </c>
      <c r="B472" s="40">
        <v>57.3</v>
      </c>
    </row>
    <row r="473" spans="1:2" x14ac:dyDescent="0.25">
      <c r="A473" s="39">
        <v>42142</v>
      </c>
      <c r="B473" s="40">
        <v>59.44</v>
      </c>
    </row>
    <row r="474" spans="1:2" x14ac:dyDescent="0.25">
      <c r="A474" s="39">
        <v>42139</v>
      </c>
      <c r="B474" s="40">
        <v>59.73</v>
      </c>
    </row>
    <row r="475" spans="1:2" x14ac:dyDescent="0.25">
      <c r="A475" s="39">
        <v>42138</v>
      </c>
      <c r="B475" s="40">
        <v>59.89</v>
      </c>
    </row>
    <row r="476" spans="1:2" x14ac:dyDescent="0.25">
      <c r="A476" s="39">
        <v>42137</v>
      </c>
      <c r="B476" s="40">
        <v>60.5</v>
      </c>
    </row>
    <row r="477" spans="1:2" x14ac:dyDescent="0.25">
      <c r="A477" s="39">
        <v>42136</v>
      </c>
      <c r="B477" s="40">
        <v>60.72</v>
      </c>
    </row>
    <row r="478" spans="1:2" x14ac:dyDescent="0.25">
      <c r="A478" s="39">
        <v>42135</v>
      </c>
      <c r="B478" s="40">
        <v>59.23</v>
      </c>
    </row>
    <row r="479" spans="1:2" x14ac:dyDescent="0.25">
      <c r="A479" s="39">
        <v>42132</v>
      </c>
      <c r="B479" s="40">
        <v>59.41</v>
      </c>
    </row>
    <row r="480" spans="1:2" x14ac:dyDescent="0.25">
      <c r="A480" s="39">
        <v>42131</v>
      </c>
      <c r="B480" s="40">
        <v>58.99</v>
      </c>
    </row>
    <row r="481" spans="1:2" x14ac:dyDescent="0.25">
      <c r="A481" s="39">
        <v>42130</v>
      </c>
      <c r="B481" s="40">
        <v>60.93</v>
      </c>
    </row>
    <row r="482" spans="1:2" x14ac:dyDescent="0.25">
      <c r="A482" s="39">
        <v>42129</v>
      </c>
      <c r="B482" s="40">
        <v>60.38</v>
      </c>
    </row>
    <row r="483" spans="1:2" x14ac:dyDescent="0.25">
      <c r="A483" s="39">
        <v>42128</v>
      </c>
      <c r="B483" s="40">
        <v>58.92</v>
      </c>
    </row>
    <row r="484" spans="1:2" x14ac:dyDescent="0.25">
      <c r="A484" s="39">
        <v>42125</v>
      </c>
      <c r="B484" s="40">
        <v>59.1</v>
      </c>
    </row>
    <row r="485" spans="1:2" x14ac:dyDescent="0.25">
      <c r="A485" s="39">
        <v>42124</v>
      </c>
      <c r="B485" s="40">
        <v>59.62</v>
      </c>
    </row>
    <row r="486" spans="1:2" x14ac:dyDescent="0.25">
      <c r="A486" s="39">
        <v>42123</v>
      </c>
      <c r="B486" s="40">
        <v>58.55</v>
      </c>
    </row>
    <row r="487" spans="1:2" x14ac:dyDescent="0.25">
      <c r="A487" s="39">
        <v>42122</v>
      </c>
      <c r="B487" s="40">
        <v>57.05</v>
      </c>
    </row>
    <row r="488" spans="1:2" x14ac:dyDescent="0.25">
      <c r="A488" s="39">
        <v>42121</v>
      </c>
      <c r="B488" s="40">
        <v>55.56</v>
      </c>
    </row>
    <row r="489" spans="1:2" x14ac:dyDescent="0.25">
      <c r="A489" s="39">
        <v>42118</v>
      </c>
      <c r="B489" s="40">
        <v>55.98</v>
      </c>
    </row>
    <row r="490" spans="1:2" x14ac:dyDescent="0.25">
      <c r="A490" s="39">
        <v>42117</v>
      </c>
      <c r="B490" s="40">
        <v>56.59</v>
      </c>
    </row>
    <row r="491" spans="1:2" x14ac:dyDescent="0.25">
      <c r="A491" s="39">
        <v>42116</v>
      </c>
      <c r="B491" s="40">
        <v>56.17</v>
      </c>
    </row>
    <row r="492" spans="1:2" x14ac:dyDescent="0.25">
      <c r="A492" s="39">
        <v>42115</v>
      </c>
      <c r="B492" s="40">
        <v>55.58</v>
      </c>
    </row>
    <row r="493" spans="1:2" x14ac:dyDescent="0.25">
      <c r="A493" s="39">
        <v>42114</v>
      </c>
      <c r="B493" s="40">
        <v>56.37</v>
      </c>
    </row>
    <row r="494" spans="1:2" x14ac:dyDescent="0.25">
      <c r="A494" s="39">
        <v>42111</v>
      </c>
      <c r="B494" s="40">
        <v>55.71</v>
      </c>
    </row>
    <row r="495" spans="1:2" x14ac:dyDescent="0.25">
      <c r="A495" s="39">
        <v>42110</v>
      </c>
      <c r="B495" s="40">
        <v>56.69</v>
      </c>
    </row>
    <row r="496" spans="1:2" x14ac:dyDescent="0.25">
      <c r="A496" s="39">
        <v>42109</v>
      </c>
      <c r="B496" s="40">
        <v>56.25</v>
      </c>
    </row>
    <row r="497" spans="1:2" x14ac:dyDescent="0.25">
      <c r="A497" s="39">
        <v>42108</v>
      </c>
      <c r="B497" s="40">
        <v>53.3</v>
      </c>
    </row>
    <row r="498" spans="1:2" x14ac:dyDescent="0.25">
      <c r="A498" s="39">
        <v>42107</v>
      </c>
      <c r="B498" s="40">
        <v>51.95</v>
      </c>
    </row>
    <row r="499" spans="1:2" x14ac:dyDescent="0.25">
      <c r="A499" s="39">
        <v>42104</v>
      </c>
      <c r="B499" s="40">
        <v>51.63</v>
      </c>
    </row>
    <row r="500" spans="1:2" x14ac:dyDescent="0.25">
      <c r="A500" s="39">
        <v>42103</v>
      </c>
      <c r="B500" s="40">
        <v>50.79</v>
      </c>
    </row>
    <row r="501" spans="1:2" x14ac:dyDescent="0.25">
      <c r="A501" s="39">
        <v>42102</v>
      </c>
      <c r="B501" s="40">
        <v>50.44</v>
      </c>
    </row>
    <row r="502" spans="1:2" x14ac:dyDescent="0.25">
      <c r="A502" s="39">
        <v>42101</v>
      </c>
      <c r="B502" s="40">
        <v>53.95</v>
      </c>
    </row>
    <row r="503" spans="1:2" x14ac:dyDescent="0.25">
      <c r="A503" s="39">
        <v>42100</v>
      </c>
      <c r="B503" s="40">
        <v>52.08</v>
      </c>
    </row>
    <row r="504" spans="1:2" x14ac:dyDescent="0.25">
      <c r="A504" s="39">
        <v>42096</v>
      </c>
      <c r="B504" s="40">
        <v>49.13</v>
      </c>
    </row>
    <row r="505" spans="1:2" x14ac:dyDescent="0.25">
      <c r="A505" s="39">
        <v>42095</v>
      </c>
      <c r="B505" s="40">
        <v>50.12</v>
      </c>
    </row>
    <row r="506" spans="1:2" x14ac:dyDescent="0.25">
      <c r="A506" s="39">
        <v>42094</v>
      </c>
      <c r="B506" s="40">
        <v>47.72</v>
      </c>
    </row>
    <row r="507" spans="1:2" x14ac:dyDescent="0.25">
      <c r="A507" s="39">
        <v>42093</v>
      </c>
      <c r="B507" s="40">
        <v>48.66</v>
      </c>
    </row>
    <row r="508" spans="1:2" x14ac:dyDescent="0.25">
      <c r="A508" s="39">
        <v>42090</v>
      </c>
      <c r="B508" s="40">
        <v>48.83</v>
      </c>
    </row>
    <row r="509" spans="1:2" x14ac:dyDescent="0.25">
      <c r="A509" s="39">
        <v>42089</v>
      </c>
      <c r="B509" s="40">
        <v>51.41</v>
      </c>
    </row>
    <row r="510" spans="1:2" x14ac:dyDescent="0.25">
      <c r="A510" s="39">
        <v>42088</v>
      </c>
      <c r="B510" s="40">
        <v>48.75</v>
      </c>
    </row>
    <row r="511" spans="1:2" x14ac:dyDescent="0.25">
      <c r="A511" s="39">
        <v>42087</v>
      </c>
      <c r="B511" s="40">
        <v>47.03</v>
      </c>
    </row>
    <row r="512" spans="1:2" x14ac:dyDescent="0.25">
      <c r="A512" s="39">
        <v>42086</v>
      </c>
      <c r="B512" s="40">
        <v>47.4</v>
      </c>
    </row>
    <row r="513" spans="1:2" x14ac:dyDescent="0.25">
      <c r="A513" s="39">
        <v>42083</v>
      </c>
      <c r="B513" s="40">
        <v>46</v>
      </c>
    </row>
    <row r="514" spans="1:2" x14ac:dyDescent="0.25">
      <c r="A514" s="39">
        <v>42082</v>
      </c>
      <c r="B514" s="40">
        <v>44.02</v>
      </c>
    </row>
    <row r="515" spans="1:2" x14ac:dyDescent="0.25">
      <c r="A515" s="39">
        <v>42081</v>
      </c>
      <c r="B515" s="40">
        <v>44.63</v>
      </c>
    </row>
    <row r="516" spans="1:2" x14ac:dyDescent="0.25">
      <c r="A516" s="39">
        <v>42080</v>
      </c>
      <c r="B516" s="40">
        <v>43.39</v>
      </c>
    </row>
    <row r="517" spans="1:2" x14ac:dyDescent="0.25">
      <c r="A517" s="39">
        <v>42079</v>
      </c>
      <c r="B517" s="40">
        <v>43.93</v>
      </c>
    </row>
    <row r="518" spans="1:2" x14ac:dyDescent="0.25">
      <c r="A518" s="39">
        <v>42076</v>
      </c>
      <c r="B518" s="40">
        <v>44.88</v>
      </c>
    </row>
    <row r="519" spans="1:2" x14ac:dyDescent="0.25">
      <c r="A519" s="39">
        <v>42075</v>
      </c>
      <c r="B519" s="40">
        <v>47.12</v>
      </c>
    </row>
    <row r="520" spans="1:2" x14ac:dyDescent="0.25">
      <c r="A520" s="39">
        <v>42074</v>
      </c>
      <c r="B520" s="40">
        <v>48.06</v>
      </c>
    </row>
    <row r="521" spans="1:2" x14ac:dyDescent="0.25">
      <c r="A521" s="39">
        <v>42073</v>
      </c>
      <c r="B521" s="40">
        <v>48.42</v>
      </c>
    </row>
    <row r="522" spans="1:2" x14ac:dyDescent="0.25">
      <c r="A522" s="39">
        <v>42072</v>
      </c>
      <c r="B522" s="40">
        <v>49.95</v>
      </c>
    </row>
    <row r="523" spans="1:2" x14ac:dyDescent="0.25">
      <c r="A523" s="39">
        <v>42069</v>
      </c>
      <c r="B523" s="40">
        <v>49.61</v>
      </c>
    </row>
    <row r="524" spans="1:2" x14ac:dyDescent="0.25">
      <c r="A524" s="39">
        <v>42068</v>
      </c>
      <c r="B524" s="40">
        <v>50.76</v>
      </c>
    </row>
    <row r="525" spans="1:2" x14ac:dyDescent="0.25">
      <c r="A525" s="39">
        <v>42067</v>
      </c>
      <c r="B525" s="40">
        <v>51.53</v>
      </c>
    </row>
    <row r="526" spans="1:2" x14ac:dyDescent="0.25">
      <c r="A526" s="39">
        <v>42066</v>
      </c>
      <c r="B526" s="40">
        <v>50.43</v>
      </c>
    </row>
    <row r="527" spans="1:2" x14ac:dyDescent="0.25">
      <c r="A527" s="39">
        <v>42065</v>
      </c>
      <c r="B527" s="40">
        <v>49.59</v>
      </c>
    </row>
    <row r="528" spans="1:2" x14ac:dyDescent="0.25">
      <c r="A528" s="39">
        <v>42062</v>
      </c>
      <c r="B528" s="40">
        <v>49.84</v>
      </c>
    </row>
    <row r="529" spans="1:2" x14ac:dyDescent="0.25">
      <c r="A529" s="39">
        <v>42061</v>
      </c>
      <c r="B529" s="40">
        <v>47.65</v>
      </c>
    </row>
    <row r="530" spans="1:2" x14ac:dyDescent="0.25">
      <c r="A530" s="39">
        <v>42060</v>
      </c>
      <c r="B530" s="40">
        <v>50.25</v>
      </c>
    </row>
    <row r="531" spans="1:2" x14ac:dyDescent="0.25">
      <c r="A531" s="39">
        <v>42059</v>
      </c>
      <c r="B531" s="40">
        <v>48.48</v>
      </c>
    </row>
    <row r="532" spans="1:2" x14ac:dyDescent="0.25">
      <c r="A532" s="39">
        <v>42058</v>
      </c>
      <c r="B532" s="40">
        <v>49.56</v>
      </c>
    </row>
    <row r="533" spans="1:2" x14ac:dyDescent="0.25">
      <c r="A533" s="39">
        <v>42055</v>
      </c>
      <c r="B533" s="40">
        <v>49.95</v>
      </c>
    </row>
    <row r="534" spans="1:2" x14ac:dyDescent="0.25">
      <c r="A534" s="39">
        <v>42054</v>
      </c>
      <c r="B534" s="40">
        <v>51.12</v>
      </c>
    </row>
    <row r="535" spans="1:2" x14ac:dyDescent="0.25">
      <c r="A535" s="39">
        <v>42053</v>
      </c>
      <c r="B535" s="40">
        <v>52.13</v>
      </c>
    </row>
    <row r="536" spans="1:2" x14ac:dyDescent="0.25">
      <c r="A536" s="39">
        <v>42052</v>
      </c>
      <c r="B536" s="40">
        <v>53.56</v>
      </c>
    </row>
    <row r="537" spans="1:2" x14ac:dyDescent="0.25">
      <c r="A537" s="39">
        <v>42048</v>
      </c>
      <c r="B537" s="40">
        <v>52.66</v>
      </c>
    </row>
    <row r="538" spans="1:2" x14ac:dyDescent="0.25">
      <c r="A538" s="39">
        <v>42047</v>
      </c>
      <c r="B538" s="40">
        <v>51.17</v>
      </c>
    </row>
    <row r="539" spans="1:2" x14ac:dyDescent="0.25">
      <c r="A539" s="39">
        <v>42046</v>
      </c>
      <c r="B539" s="40">
        <v>48.8</v>
      </c>
    </row>
    <row r="540" spans="1:2" x14ac:dyDescent="0.25">
      <c r="A540" s="39">
        <v>42045</v>
      </c>
      <c r="B540" s="40">
        <v>50.06</v>
      </c>
    </row>
    <row r="541" spans="1:2" x14ac:dyDescent="0.25">
      <c r="A541" s="39">
        <v>42044</v>
      </c>
      <c r="B541" s="40">
        <v>52.99</v>
      </c>
    </row>
    <row r="542" spans="1:2" x14ac:dyDescent="0.25">
      <c r="A542" s="39">
        <v>42041</v>
      </c>
      <c r="B542" s="40">
        <v>51.66</v>
      </c>
    </row>
    <row r="543" spans="1:2" x14ac:dyDescent="0.25">
      <c r="A543" s="39">
        <v>42040</v>
      </c>
      <c r="B543" s="40">
        <v>50.48</v>
      </c>
    </row>
    <row r="544" spans="1:2" x14ac:dyDescent="0.25">
      <c r="A544" s="39">
        <v>42039</v>
      </c>
      <c r="B544" s="40">
        <v>48.45</v>
      </c>
    </row>
    <row r="545" spans="1:2" x14ac:dyDescent="0.25">
      <c r="A545" s="39">
        <v>42038</v>
      </c>
      <c r="B545" s="40">
        <v>53.04</v>
      </c>
    </row>
    <row r="546" spans="1:2" x14ac:dyDescent="0.25">
      <c r="A546" s="39">
        <v>42037</v>
      </c>
      <c r="B546" s="40">
        <v>49.25</v>
      </c>
    </row>
    <row r="547" spans="1:2" x14ac:dyDescent="0.25">
      <c r="A547" s="39">
        <v>42034</v>
      </c>
      <c r="B547" s="40">
        <v>47.79</v>
      </c>
    </row>
    <row r="548" spans="1:2" x14ac:dyDescent="0.25">
      <c r="A548" s="39">
        <v>42033</v>
      </c>
      <c r="B548" s="40">
        <v>44.12</v>
      </c>
    </row>
    <row r="549" spans="1:2" x14ac:dyDescent="0.25">
      <c r="A549" s="39">
        <v>42032</v>
      </c>
      <c r="B549" s="40">
        <v>44.08</v>
      </c>
    </row>
    <row r="550" spans="1:2" x14ac:dyDescent="0.25">
      <c r="A550" s="39">
        <v>42031</v>
      </c>
      <c r="B550" s="40">
        <v>45.84</v>
      </c>
    </row>
    <row r="551" spans="1:2" x14ac:dyDescent="0.25">
      <c r="A551" s="39">
        <v>42030</v>
      </c>
      <c r="B551" s="40">
        <v>44.8</v>
      </c>
    </row>
    <row r="552" spans="1:2" x14ac:dyDescent="0.25">
      <c r="A552" s="39">
        <v>42027</v>
      </c>
      <c r="B552" s="40">
        <v>45.26</v>
      </c>
    </row>
    <row r="553" spans="1:2" x14ac:dyDescent="0.25">
      <c r="A553" s="39">
        <v>42026</v>
      </c>
      <c r="B553" s="40">
        <v>45.93</v>
      </c>
    </row>
    <row r="554" spans="1:2" x14ac:dyDescent="0.25">
      <c r="A554" s="39">
        <v>42025</v>
      </c>
      <c r="B554" s="40">
        <v>47.85</v>
      </c>
    </row>
    <row r="555" spans="1:2" x14ac:dyDescent="0.25">
      <c r="A555" s="39">
        <v>42024</v>
      </c>
      <c r="B555" s="40">
        <v>46.79</v>
      </c>
    </row>
    <row r="556" spans="1:2" x14ac:dyDescent="0.25">
      <c r="A556" s="39">
        <v>42020</v>
      </c>
      <c r="B556" s="40">
        <v>48.49</v>
      </c>
    </row>
    <row r="557" spans="1:2" x14ac:dyDescent="0.25">
      <c r="A557" s="39">
        <v>42019</v>
      </c>
      <c r="B557" s="40">
        <v>46.37</v>
      </c>
    </row>
    <row r="558" spans="1:2" x14ac:dyDescent="0.25">
      <c r="A558" s="39">
        <v>42018</v>
      </c>
      <c r="B558" s="40">
        <v>48.49</v>
      </c>
    </row>
    <row r="559" spans="1:2" x14ac:dyDescent="0.25">
      <c r="A559" s="39">
        <v>42017</v>
      </c>
      <c r="B559" s="40">
        <v>45.92</v>
      </c>
    </row>
    <row r="560" spans="1:2" x14ac:dyDescent="0.25">
      <c r="A560" s="39">
        <v>42016</v>
      </c>
      <c r="B560" s="40">
        <v>46.06</v>
      </c>
    </row>
    <row r="561" spans="1:2" x14ac:dyDescent="0.25">
      <c r="A561" s="39">
        <v>42013</v>
      </c>
      <c r="B561" s="40">
        <v>48.35</v>
      </c>
    </row>
    <row r="562" spans="1:2" x14ac:dyDescent="0.25">
      <c r="A562" s="39">
        <v>42012</v>
      </c>
      <c r="B562" s="40">
        <v>48.8</v>
      </c>
    </row>
    <row r="563" spans="1:2" x14ac:dyDescent="0.25">
      <c r="A563" s="39">
        <v>42011</v>
      </c>
      <c r="B563" s="40">
        <v>48.69</v>
      </c>
    </row>
    <row r="564" spans="1:2" x14ac:dyDescent="0.25">
      <c r="A564" s="39">
        <v>42010</v>
      </c>
      <c r="B564" s="40">
        <v>47.98</v>
      </c>
    </row>
    <row r="565" spans="1:2" x14ac:dyDescent="0.25">
      <c r="A565" s="39">
        <v>42009</v>
      </c>
      <c r="B565" s="40">
        <v>50.05</v>
      </c>
    </row>
    <row r="566" spans="1:2" x14ac:dyDescent="0.25">
      <c r="A566" s="39">
        <v>42006</v>
      </c>
      <c r="B566" s="40">
        <v>52.72</v>
      </c>
    </row>
    <row r="567" spans="1:2" x14ac:dyDescent="0.25">
      <c r="A567" s="39">
        <v>42004</v>
      </c>
      <c r="B567" s="40">
        <v>53.45</v>
      </c>
    </row>
    <row r="568" spans="1:2" x14ac:dyDescent="0.25">
      <c r="A568" s="39">
        <v>42003</v>
      </c>
      <c r="B568" s="40">
        <v>54.14</v>
      </c>
    </row>
    <row r="569" spans="1:2" x14ac:dyDescent="0.25">
      <c r="A569" s="39">
        <v>42002</v>
      </c>
      <c r="B569" s="40">
        <v>53.46</v>
      </c>
    </row>
    <row r="570" spans="1:2" x14ac:dyDescent="0.25">
      <c r="A570" s="39">
        <v>41999</v>
      </c>
      <c r="B570" s="40">
        <v>54.59</v>
      </c>
    </row>
    <row r="571" spans="1:2" x14ac:dyDescent="0.25">
      <c r="A571" s="39">
        <v>41997</v>
      </c>
      <c r="B571" s="40">
        <v>55.7</v>
      </c>
    </row>
    <row r="572" spans="1:2" x14ac:dyDescent="0.25">
      <c r="A572" s="39">
        <v>41996</v>
      </c>
      <c r="B572" s="40">
        <v>56.78</v>
      </c>
    </row>
    <row r="573" spans="1:2" x14ac:dyDescent="0.25">
      <c r="A573" s="39">
        <v>41995</v>
      </c>
      <c r="B573" s="40">
        <v>55.25</v>
      </c>
    </row>
    <row r="574" spans="1:2" x14ac:dyDescent="0.25">
      <c r="A574" s="39">
        <v>41992</v>
      </c>
      <c r="B574" s="40">
        <v>56.91</v>
      </c>
    </row>
    <row r="575" spans="1:2" x14ac:dyDescent="0.25">
      <c r="A575" s="39">
        <v>41991</v>
      </c>
      <c r="B575" s="40">
        <v>54.18</v>
      </c>
    </row>
    <row r="576" spans="1:2" x14ac:dyDescent="0.25">
      <c r="A576" s="39">
        <v>41990</v>
      </c>
      <c r="B576" s="40">
        <v>56.43</v>
      </c>
    </row>
    <row r="577" spans="1:2" x14ac:dyDescent="0.25">
      <c r="A577" s="39">
        <v>41989</v>
      </c>
      <c r="B577" s="40">
        <v>55.97</v>
      </c>
    </row>
    <row r="578" spans="1:2" x14ac:dyDescent="0.25">
      <c r="A578" s="39">
        <v>41988</v>
      </c>
      <c r="B578" s="40">
        <v>55.96</v>
      </c>
    </row>
    <row r="579" spans="1:2" x14ac:dyDescent="0.25">
      <c r="A579" s="39">
        <v>41985</v>
      </c>
      <c r="B579" s="40">
        <v>57.81</v>
      </c>
    </row>
    <row r="580" spans="1:2" x14ac:dyDescent="0.25">
      <c r="A580" s="39">
        <v>41984</v>
      </c>
      <c r="B580" s="40">
        <v>60.01</v>
      </c>
    </row>
    <row r="581" spans="1:2" x14ac:dyDescent="0.25">
      <c r="A581" s="39">
        <v>41983</v>
      </c>
      <c r="B581" s="40">
        <v>60.99</v>
      </c>
    </row>
    <row r="582" spans="1:2" x14ac:dyDescent="0.25">
      <c r="A582" s="39">
        <v>41982</v>
      </c>
      <c r="B582" s="40">
        <v>63.74</v>
      </c>
    </row>
    <row r="583" spans="1:2" x14ac:dyDescent="0.25">
      <c r="A583" s="39">
        <v>41981</v>
      </c>
      <c r="B583" s="40">
        <v>63.13</v>
      </c>
    </row>
    <row r="584" spans="1:2" x14ac:dyDescent="0.25">
      <c r="A584" s="39">
        <v>41978</v>
      </c>
      <c r="B584" s="40">
        <v>65.89</v>
      </c>
    </row>
    <row r="585" spans="1:2" x14ac:dyDescent="0.25">
      <c r="A585" s="39">
        <v>41977</v>
      </c>
      <c r="B585" s="40">
        <v>66.73</v>
      </c>
    </row>
    <row r="586" spans="1:2" x14ac:dyDescent="0.25">
      <c r="A586" s="39">
        <v>41976</v>
      </c>
      <c r="B586" s="40">
        <v>67.3</v>
      </c>
    </row>
    <row r="587" spans="1:2" x14ac:dyDescent="0.25">
      <c r="A587" s="39">
        <v>41975</v>
      </c>
      <c r="B587" s="40">
        <v>66.989999999999995</v>
      </c>
    </row>
    <row r="588" spans="1:2" x14ac:dyDescent="0.25">
      <c r="A588" s="39">
        <v>41974</v>
      </c>
      <c r="B588" s="40">
        <v>68.98</v>
      </c>
    </row>
    <row r="589" spans="1:2" x14ac:dyDescent="0.25">
      <c r="A589" s="39">
        <v>41971</v>
      </c>
      <c r="B589" s="40">
        <v>65.94</v>
      </c>
    </row>
    <row r="590" spans="1:2" x14ac:dyDescent="0.25">
      <c r="A590" s="39">
        <v>41969</v>
      </c>
      <c r="B590" s="40">
        <v>73.7</v>
      </c>
    </row>
    <row r="591" spans="1:2" x14ac:dyDescent="0.25">
      <c r="A591" s="39">
        <v>41968</v>
      </c>
      <c r="B591" s="40">
        <v>74.040000000000006</v>
      </c>
    </row>
    <row r="592" spans="1:2" x14ac:dyDescent="0.25">
      <c r="A592" s="39">
        <v>41967</v>
      </c>
      <c r="B592" s="40">
        <v>75.739999999999995</v>
      </c>
    </row>
    <row r="593" spans="1:2" x14ac:dyDescent="0.25">
      <c r="A593" s="39">
        <v>41964</v>
      </c>
      <c r="B593" s="40">
        <v>76.52</v>
      </c>
    </row>
    <row r="594" spans="1:2" x14ac:dyDescent="0.25">
      <c r="A594" s="39">
        <v>41963</v>
      </c>
      <c r="B594" s="40">
        <v>75.63</v>
      </c>
    </row>
    <row r="595" spans="1:2" x14ac:dyDescent="0.25">
      <c r="A595" s="39">
        <v>41962</v>
      </c>
      <c r="B595" s="40">
        <v>74.55</v>
      </c>
    </row>
    <row r="596" spans="1:2" x14ac:dyDescent="0.25">
      <c r="A596" s="39">
        <v>41961</v>
      </c>
      <c r="B596" s="40">
        <v>74.55</v>
      </c>
    </row>
    <row r="597" spans="1:2" x14ac:dyDescent="0.25">
      <c r="A597" s="39">
        <v>41960</v>
      </c>
      <c r="B597" s="40">
        <v>75.64</v>
      </c>
    </row>
    <row r="598" spans="1:2" x14ac:dyDescent="0.25">
      <c r="A598" s="39">
        <v>41957</v>
      </c>
      <c r="B598" s="40">
        <v>75.91</v>
      </c>
    </row>
    <row r="599" spans="1:2" x14ac:dyDescent="0.25">
      <c r="A599" s="39">
        <v>41956</v>
      </c>
      <c r="B599" s="40">
        <v>74.13</v>
      </c>
    </row>
    <row r="600" spans="1:2" x14ac:dyDescent="0.25">
      <c r="A600" s="39">
        <v>41955</v>
      </c>
      <c r="B600" s="40">
        <v>77.16</v>
      </c>
    </row>
    <row r="601" spans="1:2" x14ac:dyDescent="0.25">
      <c r="A601" s="39">
        <v>41954</v>
      </c>
      <c r="B601" s="40">
        <v>77.849999999999994</v>
      </c>
    </row>
    <row r="602" spans="1:2" x14ac:dyDescent="0.25">
      <c r="A602" s="39">
        <v>41953</v>
      </c>
      <c r="B602" s="40">
        <v>77.430000000000007</v>
      </c>
    </row>
    <row r="603" spans="1:2" x14ac:dyDescent="0.25">
      <c r="A603" s="39">
        <v>41950</v>
      </c>
      <c r="B603" s="40">
        <v>78.709999999999994</v>
      </c>
    </row>
    <row r="604" spans="1:2" x14ac:dyDescent="0.25">
      <c r="A604" s="39">
        <v>41949</v>
      </c>
      <c r="B604" s="40">
        <v>77.87</v>
      </c>
    </row>
    <row r="605" spans="1:2" x14ac:dyDescent="0.25">
      <c r="A605" s="39">
        <v>41948</v>
      </c>
      <c r="B605" s="40">
        <v>78.709999999999994</v>
      </c>
    </row>
    <row r="606" spans="1:2" x14ac:dyDescent="0.25">
      <c r="A606" s="39">
        <v>41947</v>
      </c>
      <c r="B606" s="40">
        <v>77.150000000000006</v>
      </c>
    </row>
    <row r="607" spans="1:2" x14ac:dyDescent="0.25">
      <c r="A607" s="39">
        <v>41946</v>
      </c>
      <c r="B607" s="40">
        <v>78.77</v>
      </c>
    </row>
    <row r="608" spans="1:2" x14ac:dyDescent="0.25">
      <c r="A608" s="39">
        <v>41943</v>
      </c>
      <c r="B608" s="40">
        <v>80.53</v>
      </c>
    </row>
    <row r="609" spans="1:2" x14ac:dyDescent="0.25">
      <c r="A609" s="39">
        <v>41942</v>
      </c>
      <c r="B609" s="40">
        <v>81.06</v>
      </c>
    </row>
    <row r="610" spans="1:2" x14ac:dyDescent="0.25">
      <c r="A610" s="39">
        <v>41941</v>
      </c>
      <c r="B610" s="40">
        <v>82.25</v>
      </c>
    </row>
    <row r="611" spans="1:2" x14ac:dyDescent="0.25">
      <c r="A611" s="39">
        <v>41940</v>
      </c>
      <c r="B611" s="40">
        <v>81.36</v>
      </c>
    </row>
    <row r="612" spans="1:2" x14ac:dyDescent="0.25">
      <c r="A612" s="39">
        <v>41939</v>
      </c>
      <c r="B612" s="40">
        <v>81.260000000000005</v>
      </c>
    </row>
    <row r="613" spans="1:2" x14ac:dyDescent="0.25">
      <c r="A613" s="39">
        <v>41936</v>
      </c>
      <c r="B613" s="40">
        <v>81.27</v>
      </c>
    </row>
    <row r="614" spans="1:2" x14ac:dyDescent="0.25">
      <c r="A614" s="39">
        <v>41935</v>
      </c>
      <c r="B614" s="40">
        <v>82.81</v>
      </c>
    </row>
    <row r="615" spans="1:2" x14ac:dyDescent="0.25">
      <c r="A615" s="39">
        <v>41934</v>
      </c>
      <c r="B615" s="40">
        <v>80.52</v>
      </c>
    </row>
    <row r="616" spans="1:2" x14ac:dyDescent="0.25">
      <c r="A616" s="39">
        <v>41933</v>
      </c>
      <c r="B616" s="40">
        <v>83.25</v>
      </c>
    </row>
    <row r="617" spans="1:2" x14ac:dyDescent="0.25">
      <c r="A617" s="39">
        <v>41932</v>
      </c>
      <c r="B617" s="40">
        <v>82.76</v>
      </c>
    </row>
    <row r="618" spans="1:2" x14ac:dyDescent="0.25">
      <c r="A618" s="39">
        <v>41929</v>
      </c>
      <c r="B618" s="40">
        <v>82.8</v>
      </c>
    </row>
    <row r="619" spans="1:2" x14ac:dyDescent="0.25">
      <c r="A619" s="39">
        <v>41928</v>
      </c>
      <c r="B619" s="40">
        <v>82.33</v>
      </c>
    </row>
    <row r="620" spans="1:2" x14ac:dyDescent="0.25">
      <c r="A620" s="39">
        <v>41927</v>
      </c>
      <c r="B620" s="40">
        <v>81.819999999999993</v>
      </c>
    </row>
    <row r="621" spans="1:2" x14ac:dyDescent="0.25">
      <c r="A621" s="39">
        <v>41926</v>
      </c>
      <c r="B621" s="40">
        <v>81.72</v>
      </c>
    </row>
    <row r="622" spans="1:2" x14ac:dyDescent="0.25">
      <c r="A622" s="39">
        <v>41925</v>
      </c>
      <c r="B622" s="40">
        <v>85.73</v>
      </c>
    </row>
    <row r="623" spans="1:2" x14ac:dyDescent="0.25">
      <c r="A623" s="39">
        <v>41922</v>
      </c>
      <c r="B623" s="40">
        <v>85.87</v>
      </c>
    </row>
    <row r="624" spans="1:2" x14ac:dyDescent="0.25">
      <c r="A624" s="39">
        <v>41921</v>
      </c>
      <c r="B624" s="40">
        <v>85.76</v>
      </c>
    </row>
    <row r="625" spans="1:2" x14ac:dyDescent="0.25">
      <c r="A625" s="39">
        <v>41920</v>
      </c>
      <c r="B625" s="40">
        <v>87.29</v>
      </c>
    </row>
    <row r="626" spans="1:2" x14ac:dyDescent="0.25">
      <c r="A626" s="39">
        <v>41919</v>
      </c>
      <c r="B626" s="40">
        <v>88.89</v>
      </c>
    </row>
    <row r="627" spans="1:2" x14ac:dyDescent="0.25">
      <c r="A627" s="39">
        <v>41918</v>
      </c>
      <c r="B627" s="40">
        <v>90.33</v>
      </c>
    </row>
    <row r="628" spans="1:2" x14ac:dyDescent="0.25">
      <c r="A628" s="39">
        <v>41915</v>
      </c>
      <c r="B628" s="40">
        <v>89.76</v>
      </c>
    </row>
    <row r="629" spans="1:2" x14ac:dyDescent="0.25">
      <c r="A629" s="39">
        <v>41914</v>
      </c>
      <c r="B629" s="40">
        <v>91.02</v>
      </c>
    </row>
    <row r="630" spans="1:2" x14ac:dyDescent="0.25">
      <c r="A630" s="39">
        <v>41913</v>
      </c>
      <c r="B630" s="40">
        <v>90.74</v>
      </c>
    </row>
    <row r="631" spans="1:2" x14ac:dyDescent="0.25">
      <c r="A631" s="39">
        <v>41912</v>
      </c>
      <c r="B631" s="40">
        <v>91.17</v>
      </c>
    </row>
    <row r="632" spans="1:2" x14ac:dyDescent="0.25">
      <c r="A632" s="39">
        <v>41911</v>
      </c>
      <c r="B632" s="40">
        <v>94.53</v>
      </c>
    </row>
    <row r="633" spans="1:2" x14ac:dyDescent="0.25">
      <c r="A633" s="39">
        <v>41908</v>
      </c>
      <c r="B633" s="40">
        <v>95.55</v>
      </c>
    </row>
    <row r="634" spans="1:2" x14ac:dyDescent="0.25">
      <c r="A634" s="39">
        <v>41907</v>
      </c>
      <c r="B634" s="40">
        <v>93.59</v>
      </c>
    </row>
    <row r="635" spans="1:2" x14ac:dyDescent="0.25">
      <c r="A635" s="39">
        <v>41906</v>
      </c>
      <c r="B635" s="40">
        <v>93.6</v>
      </c>
    </row>
    <row r="636" spans="1:2" x14ac:dyDescent="0.25">
      <c r="A636" s="39">
        <v>41905</v>
      </c>
      <c r="B636" s="40">
        <v>91.55</v>
      </c>
    </row>
    <row r="637" spans="1:2" x14ac:dyDescent="0.25">
      <c r="A637" s="39">
        <v>41904</v>
      </c>
      <c r="B637" s="40">
        <v>91.46</v>
      </c>
    </row>
    <row r="638" spans="1:2" x14ac:dyDescent="0.25">
      <c r="A638" s="39">
        <v>41901</v>
      </c>
      <c r="B638" s="40">
        <v>92.43</v>
      </c>
    </row>
    <row r="639" spans="1:2" x14ac:dyDescent="0.25">
      <c r="A639" s="39">
        <v>41900</v>
      </c>
      <c r="B639" s="40">
        <v>93.07</v>
      </c>
    </row>
    <row r="640" spans="1:2" x14ac:dyDescent="0.25">
      <c r="A640" s="39">
        <v>41899</v>
      </c>
      <c r="B640" s="40">
        <v>94.33</v>
      </c>
    </row>
    <row r="641" spans="1:2" x14ac:dyDescent="0.25">
      <c r="A641" s="39">
        <v>41898</v>
      </c>
      <c r="B641" s="40">
        <v>94.91</v>
      </c>
    </row>
    <row r="642" spans="1:2" x14ac:dyDescent="0.25">
      <c r="A642" s="39">
        <v>41897</v>
      </c>
      <c r="B642" s="40">
        <v>92.86</v>
      </c>
    </row>
    <row r="643" spans="1:2" x14ac:dyDescent="0.25">
      <c r="A643" s="39">
        <v>41894</v>
      </c>
      <c r="B643" s="40">
        <v>92.18</v>
      </c>
    </row>
    <row r="644" spans="1:2" x14ac:dyDescent="0.25">
      <c r="A644" s="39">
        <v>41893</v>
      </c>
      <c r="B644" s="40">
        <v>92.89</v>
      </c>
    </row>
    <row r="645" spans="1:2" x14ac:dyDescent="0.25">
      <c r="A645" s="39">
        <v>41892</v>
      </c>
      <c r="B645" s="40">
        <v>91.71</v>
      </c>
    </row>
    <row r="646" spans="1:2" x14ac:dyDescent="0.25">
      <c r="A646" s="39">
        <v>41891</v>
      </c>
      <c r="B646" s="40">
        <v>92.73</v>
      </c>
    </row>
    <row r="647" spans="1:2" x14ac:dyDescent="0.25">
      <c r="A647" s="39">
        <v>41890</v>
      </c>
      <c r="B647" s="40">
        <v>92.64</v>
      </c>
    </row>
    <row r="648" spans="1:2" x14ac:dyDescent="0.25">
      <c r="A648" s="39">
        <v>41887</v>
      </c>
      <c r="B648" s="40">
        <v>93.32</v>
      </c>
    </row>
    <row r="649" spans="1:2" x14ac:dyDescent="0.25">
      <c r="A649" s="39">
        <v>41886</v>
      </c>
      <c r="B649" s="40">
        <v>94.51</v>
      </c>
    </row>
    <row r="650" spans="1:2" x14ac:dyDescent="0.25">
      <c r="A650" s="39">
        <v>41885</v>
      </c>
      <c r="B650" s="40">
        <v>95.5</v>
      </c>
    </row>
    <row r="651" spans="1:2" x14ac:dyDescent="0.25">
      <c r="A651" s="39">
        <v>41884</v>
      </c>
      <c r="B651" s="40">
        <v>92.92</v>
      </c>
    </row>
    <row r="652" spans="1:2" x14ac:dyDescent="0.25">
      <c r="A652" s="39">
        <v>41880</v>
      </c>
      <c r="B652" s="40">
        <v>97.86</v>
      </c>
    </row>
    <row r="653" spans="1:2" x14ac:dyDescent="0.25">
      <c r="A653" s="39">
        <v>41879</v>
      </c>
      <c r="B653" s="40">
        <v>96.44</v>
      </c>
    </row>
    <row r="654" spans="1:2" x14ac:dyDescent="0.25">
      <c r="A654" s="39">
        <v>41878</v>
      </c>
      <c r="B654" s="40">
        <v>95.82</v>
      </c>
    </row>
    <row r="655" spans="1:2" x14ac:dyDescent="0.25">
      <c r="A655" s="39">
        <v>41877</v>
      </c>
      <c r="B655" s="40">
        <v>95.78</v>
      </c>
    </row>
    <row r="656" spans="1:2" x14ac:dyDescent="0.25">
      <c r="A656" s="39">
        <v>41876</v>
      </c>
      <c r="B656" s="40">
        <v>95.39</v>
      </c>
    </row>
    <row r="657" spans="1:2" x14ac:dyDescent="0.25">
      <c r="A657" s="39">
        <v>41873</v>
      </c>
      <c r="B657" s="40">
        <v>93.61</v>
      </c>
    </row>
    <row r="658" spans="1:2" x14ac:dyDescent="0.25">
      <c r="A658" s="39">
        <v>41872</v>
      </c>
      <c r="B658" s="40">
        <v>93.97</v>
      </c>
    </row>
    <row r="659" spans="1:2" x14ac:dyDescent="0.25">
      <c r="A659" s="39">
        <v>41871</v>
      </c>
      <c r="B659" s="40">
        <v>96.4</v>
      </c>
    </row>
    <row r="660" spans="1:2" x14ac:dyDescent="0.25">
      <c r="A660" s="39">
        <v>41870</v>
      </c>
      <c r="B660" s="40">
        <v>94.35</v>
      </c>
    </row>
    <row r="661" spans="1:2" x14ac:dyDescent="0.25">
      <c r="A661" s="39">
        <v>41869</v>
      </c>
      <c r="B661" s="40">
        <v>96.44</v>
      </c>
    </row>
    <row r="662" spans="1:2" x14ac:dyDescent="0.25">
      <c r="A662" s="39">
        <v>41866</v>
      </c>
      <c r="B662" s="40">
        <v>97.3</v>
      </c>
    </row>
    <row r="663" spans="1:2" x14ac:dyDescent="0.25">
      <c r="A663" s="39">
        <v>41865</v>
      </c>
      <c r="B663" s="40">
        <v>95.54</v>
      </c>
    </row>
    <row r="664" spans="1:2" x14ac:dyDescent="0.25">
      <c r="A664" s="39">
        <v>41864</v>
      </c>
      <c r="B664" s="40">
        <v>97.57</v>
      </c>
    </row>
    <row r="665" spans="1:2" x14ac:dyDescent="0.25">
      <c r="A665" s="39">
        <v>41863</v>
      </c>
      <c r="B665" s="40">
        <v>97.36</v>
      </c>
    </row>
    <row r="666" spans="1:2" x14ac:dyDescent="0.25">
      <c r="A666" s="39">
        <v>41862</v>
      </c>
      <c r="B666" s="40">
        <v>98.09</v>
      </c>
    </row>
    <row r="667" spans="1:2" x14ac:dyDescent="0.25">
      <c r="A667" s="39">
        <v>41859</v>
      </c>
      <c r="B667" s="40">
        <v>97.61</v>
      </c>
    </row>
    <row r="668" spans="1:2" x14ac:dyDescent="0.25">
      <c r="A668" s="39">
        <v>41858</v>
      </c>
      <c r="B668" s="40">
        <v>97.34</v>
      </c>
    </row>
    <row r="669" spans="1:2" x14ac:dyDescent="0.25">
      <c r="A669" s="39">
        <v>41857</v>
      </c>
      <c r="B669" s="40">
        <v>96.93</v>
      </c>
    </row>
    <row r="670" spans="1:2" x14ac:dyDescent="0.25">
      <c r="A670" s="39">
        <v>41856</v>
      </c>
      <c r="B670" s="40">
        <v>97.34</v>
      </c>
    </row>
    <row r="671" spans="1:2" x14ac:dyDescent="0.25">
      <c r="A671" s="39">
        <v>41855</v>
      </c>
      <c r="B671" s="40">
        <v>98.26</v>
      </c>
    </row>
    <row r="672" spans="1:2" x14ac:dyDescent="0.25">
      <c r="A672" s="39">
        <v>41852</v>
      </c>
      <c r="B672" s="40">
        <v>97.86</v>
      </c>
    </row>
    <row r="673" spans="1:2" x14ac:dyDescent="0.25">
      <c r="A673" s="39">
        <v>41851</v>
      </c>
      <c r="B673" s="40">
        <v>98.23</v>
      </c>
    </row>
    <row r="674" spans="1:2" x14ac:dyDescent="0.25">
      <c r="A674" s="39">
        <v>41850</v>
      </c>
      <c r="B674" s="40">
        <v>104.29</v>
      </c>
    </row>
    <row r="675" spans="1:2" x14ac:dyDescent="0.25">
      <c r="A675" s="39">
        <v>41849</v>
      </c>
      <c r="B675" s="40">
        <v>104.91</v>
      </c>
    </row>
    <row r="676" spans="1:2" x14ac:dyDescent="0.25">
      <c r="A676" s="39">
        <v>41848</v>
      </c>
      <c r="B676" s="40">
        <v>105.68</v>
      </c>
    </row>
    <row r="677" spans="1:2" x14ac:dyDescent="0.25">
      <c r="A677" s="39">
        <v>41845</v>
      </c>
      <c r="B677" s="40">
        <v>105.23</v>
      </c>
    </row>
    <row r="678" spans="1:2" x14ac:dyDescent="0.25">
      <c r="A678" s="39">
        <v>41844</v>
      </c>
      <c r="B678" s="40">
        <v>102.76</v>
      </c>
    </row>
    <row r="679" spans="1:2" x14ac:dyDescent="0.25">
      <c r="A679" s="39">
        <v>41843</v>
      </c>
      <c r="B679" s="40">
        <v>103.81</v>
      </c>
    </row>
    <row r="680" spans="1:2" x14ac:dyDescent="0.25">
      <c r="A680" s="39">
        <v>41842</v>
      </c>
      <c r="B680" s="40">
        <v>104.59</v>
      </c>
    </row>
    <row r="681" spans="1:2" x14ac:dyDescent="0.25">
      <c r="A681" s="39">
        <v>41841</v>
      </c>
      <c r="B681" s="40">
        <v>105.34</v>
      </c>
    </row>
    <row r="682" spans="1:2" x14ac:dyDescent="0.25">
      <c r="A682" s="39">
        <v>41838</v>
      </c>
      <c r="B682" s="40">
        <v>103.83</v>
      </c>
    </row>
    <row r="683" spans="1:2" x14ac:dyDescent="0.25">
      <c r="A683" s="39">
        <v>41837</v>
      </c>
      <c r="B683" s="40">
        <v>103.84</v>
      </c>
    </row>
    <row r="684" spans="1:2" x14ac:dyDescent="0.25">
      <c r="A684" s="39">
        <v>41836</v>
      </c>
      <c r="B684" s="40">
        <v>101.88</v>
      </c>
    </row>
    <row r="685" spans="1:2" x14ac:dyDescent="0.25">
      <c r="A685" s="39">
        <v>41835</v>
      </c>
      <c r="B685" s="40">
        <v>100.56</v>
      </c>
    </row>
    <row r="686" spans="1:2" x14ac:dyDescent="0.25">
      <c r="A686" s="39">
        <v>41834</v>
      </c>
      <c r="B686" s="40">
        <v>101.73</v>
      </c>
    </row>
    <row r="687" spans="1:2" x14ac:dyDescent="0.25">
      <c r="A687" s="39">
        <v>41831</v>
      </c>
      <c r="B687" s="40">
        <v>101.48</v>
      </c>
    </row>
    <row r="688" spans="1:2" x14ac:dyDescent="0.25">
      <c r="A688" s="39">
        <v>41830</v>
      </c>
      <c r="B688" s="40">
        <v>103.61</v>
      </c>
    </row>
    <row r="689" spans="1:2" x14ac:dyDescent="0.25">
      <c r="A689" s="39">
        <v>41829</v>
      </c>
      <c r="B689" s="40">
        <v>102.93</v>
      </c>
    </row>
    <row r="690" spans="1:2" x14ac:dyDescent="0.25">
      <c r="A690" s="39">
        <v>41828</v>
      </c>
      <c r="B690" s="40">
        <v>104.06</v>
      </c>
    </row>
    <row r="691" spans="1:2" x14ac:dyDescent="0.25">
      <c r="A691" s="39">
        <v>41827</v>
      </c>
      <c r="B691" s="40">
        <v>104.19</v>
      </c>
    </row>
    <row r="692" spans="1:2" x14ac:dyDescent="0.25">
      <c r="A692" s="39">
        <v>41823</v>
      </c>
      <c r="B692" s="40">
        <v>104.76</v>
      </c>
    </row>
    <row r="693" spans="1:2" x14ac:dyDescent="0.25">
      <c r="A693" s="39">
        <v>41822</v>
      </c>
      <c r="B693" s="40">
        <v>105.18</v>
      </c>
    </row>
    <row r="694" spans="1:2" x14ac:dyDescent="0.25">
      <c r="A694" s="39">
        <v>41821</v>
      </c>
      <c r="B694" s="40">
        <v>106.06</v>
      </c>
    </row>
    <row r="695" spans="1:2" x14ac:dyDescent="0.25">
      <c r="A695" s="39">
        <v>41820</v>
      </c>
      <c r="B695" s="40">
        <v>106.07</v>
      </c>
    </row>
    <row r="696" spans="1:2" x14ac:dyDescent="0.25">
      <c r="A696" s="39">
        <v>41817</v>
      </c>
      <c r="B696" s="40">
        <v>106.46</v>
      </c>
    </row>
    <row r="697" spans="1:2" x14ac:dyDescent="0.25">
      <c r="A697" s="39">
        <v>41816</v>
      </c>
      <c r="B697" s="40">
        <v>106.49</v>
      </c>
    </row>
    <row r="698" spans="1:2" x14ac:dyDescent="0.25">
      <c r="A698" s="39">
        <v>41815</v>
      </c>
      <c r="B698" s="40">
        <v>107.04</v>
      </c>
    </row>
    <row r="699" spans="1:2" x14ac:dyDescent="0.25">
      <c r="A699" s="39">
        <v>41814</v>
      </c>
      <c r="B699" s="40">
        <v>106.64</v>
      </c>
    </row>
    <row r="700" spans="1:2" x14ac:dyDescent="0.25">
      <c r="A700" s="39">
        <v>41813</v>
      </c>
      <c r="B700" s="40">
        <v>106.83</v>
      </c>
    </row>
    <row r="701" spans="1:2" x14ac:dyDescent="0.25">
      <c r="A701" s="39">
        <v>41810</v>
      </c>
      <c r="B701" s="40">
        <v>107.95</v>
      </c>
    </row>
    <row r="702" spans="1:2" x14ac:dyDescent="0.25">
      <c r="A702" s="39">
        <v>41809</v>
      </c>
      <c r="B702" s="40">
        <v>107.08</v>
      </c>
    </row>
    <row r="703" spans="1:2" x14ac:dyDescent="0.25">
      <c r="A703" s="39">
        <v>41808</v>
      </c>
      <c r="B703" s="40">
        <v>106.64</v>
      </c>
    </row>
    <row r="704" spans="1:2" x14ac:dyDescent="0.25">
      <c r="A704" s="39">
        <v>41807</v>
      </c>
      <c r="B704" s="40">
        <v>106.95</v>
      </c>
    </row>
    <row r="705" spans="1:2" x14ac:dyDescent="0.25">
      <c r="A705" s="39">
        <v>41806</v>
      </c>
      <c r="B705" s="40">
        <v>107.52</v>
      </c>
    </row>
    <row r="706" spans="1:2" x14ac:dyDescent="0.25">
      <c r="A706" s="39">
        <v>41803</v>
      </c>
      <c r="B706" s="40">
        <v>107.49</v>
      </c>
    </row>
    <row r="707" spans="1:2" x14ac:dyDescent="0.25">
      <c r="A707" s="39">
        <v>41802</v>
      </c>
      <c r="B707" s="40">
        <v>107.2</v>
      </c>
    </row>
    <row r="708" spans="1:2" x14ac:dyDescent="0.25">
      <c r="A708" s="39">
        <v>41801</v>
      </c>
      <c r="B708" s="40">
        <v>105.04</v>
      </c>
    </row>
    <row r="709" spans="1:2" x14ac:dyDescent="0.25">
      <c r="A709" s="39">
        <v>41800</v>
      </c>
      <c r="B709" s="40">
        <v>105.02</v>
      </c>
    </row>
    <row r="710" spans="1:2" x14ac:dyDescent="0.25">
      <c r="A710" s="39">
        <v>41799</v>
      </c>
      <c r="B710" s="40">
        <v>105.09</v>
      </c>
    </row>
    <row r="711" spans="1:2" x14ac:dyDescent="0.25">
      <c r="A711" s="39">
        <v>41796</v>
      </c>
      <c r="B711" s="40">
        <v>103.32</v>
      </c>
    </row>
    <row r="712" spans="1:2" x14ac:dyDescent="0.25">
      <c r="A712" s="39">
        <v>41795</v>
      </c>
      <c r="B712" s="40">
        <v>103.17</v>
      </c>
    </row>
    <row r="713" spans="1:2" x14ac:dyDescent="0.25">
      <c r="A713" s="39">
        <v>41794</v>
      </c>
      <c r="B713" s="40">
        <v>103.27</v>
      </c>
    </row>
    <row r="714" spans="1:2" x14ac:dyDescent="0.25">
      <c r="A714" s="39">
        <v>41793</v>
      </c>
      <c r="B714" s="40">
        <v>103.34</v>
      </c>
    </row>
    <row r="715" spans="1:2" x14ac:dyDescent="0.25">
      <c r="A715" s="39">
        <v>41792</v>
      </c>
      <c r="B715" s="40">
        <v>103.07</v>
      </c>
    </row>
    <row r="716" spans="1:2" x14ac:dyDescent="0.25">
      <c r="A716" s="39">
        <v>41789</v>
      </c>
      <c r="B716" s="40">
        <v>103.4</v>
      </c>
    </row>
    <row r="717" spans="1:2" x14ac:dyDescent="0.25">
      <c r="A717" s="39">
        <v>41788</v>
      </c>
      <c r="B717" s="40">
        <v>104.26</v>
      </c>
    </row>
    <row r="718" spans="1:2" x14ac:dyDescent="0.25">
      <c r="A718" s="39">
        <v>41787</v>
      </c>
      <c r="B718" s="40">
        <v>103.37</v>
      </c>
    </row>
    <row r="719" spans="1:2" x14ac:dyDescent="0.25">
      <c r="A719" s="39">
        <v>41786</v>
      </c>
      <c r="B719" s="40">
        <v>104.78</v>
      </c>
    </row>
    <row r="720" spans="1:2" x14ac:dyDescent="0.25">
      <c r="A720" s="39">
        <v>41782</v>
      </c>
      <c r="B720" s="40">
        <v>105.01</v>
      </c>
    </row>
    <row r="721" spans="1:2" x14ac:dyDescent="0.25">
      <c r="A721" s="39">
        <v>41781</v>
      </c>
      <c r="B721" s="40">
        <v>104.03</v>
      </c>
    </row>
    <row r="722" spans="1:2" x14ac:dyDescent="0.25">
      <c r="A722" s="39">
        <v>41780</v>
      </c>
      <c r="B722" s="40">
        <v>104.31</v>
      </c>
    </row>
    <row r="723" spans="1:2" x14ac:dyDescent="0.25">
      <c r="A723" s="39">
        <v>41779</v>
      </c>
      <c r="B723" s="40">
        <v>102.8</v>
      </c>
    </row>
    <row r="724" spans="1:2" x14ac:dyDescent="0.25">
      <c r="A724" s="39">
        <v>41778</v>
      </c>
      <c r="B724" s="40">
        <v>102.95</v>
      </c>
    </row>
    <row r="725" spans="1:2" x14ac:dyDescent="0.25">
      <c r="A725" s="39">
        <v>41775</v>
      </c>
      <c r="B725" s="40">
        <v>102.31</v>
      </c>
    </row>
    <row r="726" spans="1:2" x14ac:dyDescent="0.25">
      <c r="A726" s="39">
        <v>41774</v>
      </c>
      <c r="B726" s="40">
        <v>101.74</v>
      </c>
    </row>
    <row r="727" spans="1:2" x14ac:dyDescent="0.25">
      <c r="A727" s="39">
        <v>41773</v>
      </c>
      <c r="B727" s="40">
        <v>102.63</v>
      </c>
    </row>
    <row r="728" spans="1:2" x14ac:dyDescent="0.25">
      <c r="A728" s="39">
        <v>41772</v>
      </c>
      <c r="B728" s="40">
        <v>102.01</v>
      </c>
    </row>
    <row r="729" spans="1:2" x14ac:dyDescent="0.25">
      <c r="A729" s="39">
        <v>41771</v>
      </c>
      <c r="B729" s="40">
        <v>100.89</v>
      </c>
    </row>
    <row r="730" spans="1:2" x14ac:dyDescent="0.25">
      <c r="A730" s="39">
        <v>41768</v>
      </c>
      <c r="B730" s="40">
        <v>100.32</v>
      </c>
    </row>
    <row r="731" spans="1:2" x14ac:dyDescent="0.25">
      <c r="A731" s="39">
        <v>41767</v>
      </c>
      <c r="B731" s="40">
        <v>100.52</v>
      </c>
    </row>
    <row r="732" spans="1:2" x14ac:dyDescent="0.25">
      <c r="A732" s="39">
        <v>41766</v>
      </c>
      <c r="B732" s="40">
        <v>101.06</v>
      </c>
    </row>
    <row r="733" spans="1:2" x14ac:dyDescent="0.25">
      <c r="A733" s="39">
        <v>41765</v>
      </c>
      <c r="B733" s="40">
        <v>99.81</v>
      </c>
    </row>
    <row r="734" spans="1:2" x14ac:dyDescent="0.25">
      <c r="A734" s="39">
        <v>41764</v>
      </c>
      <c r="B734" s="40">
        <v>99.74</v>
      </c>
    </row>
    <row r="735" spans="1:2" x14ac:dyDescent="0.25">
      <c r="A735" s="39">
        <v>41761</v>
      </c>
      <c r="B735" s="40">
        <v>100.09</v>
      </c>
    </row>
    <row r="736" spans="1:2" x14ac:dyDescent="0.25">
      <c r="A736" s="39">
        <v>41760</v>
      </c>
      <c r="B736" s="40">
        <v>99.69</v>
      </c>
    </row>
    <row r="737" spans="1:2" x14ac:dyDescent="0.25">
      <c r="A737" s="39">
        <v>41759</v>
      </c>
      <c r="B737" s="40">
        <v>100.07</v>
      </c>
    </row>
    <row r="738" spans="1:2" x14ac:dyDescent="0.25">
      <c r="A738" s="39">
        <v>41758</v>
      </c>
      <c r="B738" s="40">
        <v>101.56</v>
      </c>
    </row>
    <row r="739" spans="1:2" x14ac:dyDescent="0.25">
      <c r="A739" s="39">
        <v>41757</v>
      </c>
      <c r="B739" s="40">
        <v>101.13</v>
      </c>
    </row>
    <row r="740" spans="1:2" x14ac:dyDescent="0.25">
      <c r="A740" s="39">
        <v>41754</v>
      </c>
      <c r="B740" s="40">
        <v>100.85</v>
      </c>
    </row>
    <row r="741" spans="1:2" x14ac:dyDescent="0.25">
      <c r="A741" s="39">
        <v>41753</v>
      </c>
      <c r="B741" s="40">
        <v>102.2</v>
      </c>
    </row>
    <row r="742" spans="1:2" x14ac:dyDescent="0.25">
      <c r="A742" s="39">
        <v>41752</v>
      </c>
      <c r="B742" s="40">
        <v>101.47</v>
      </c>
    </row>
    <row r="743" spans="1:2" x14ac:dyDescent="0.25">
      <c r="A743" s="39">
        <v>41751</v>
      </c>
      <c r="B743" s="40">
        <v>101.69</v>
      </c>
    </row>
    <row r="744" spans="1:2" x14ac:dyDescent="0.25">
      <c r="A744" s="39">
        <v>41750</v>
      </c>
      <c r="B744" s="40">
        <v>104.35</v>
      </c>
    </row>
    <row r="745" spans="1:2" x14ac:dyDescent="0.25">
      <c r="A745" s="39">
        <v>41746</v>
      </c>
      <c r="B745" s="40">
        <v>104.33</v>
      </c>
    </row>
    <row r="746" spans="1:2" x14ac:dyDescent="0.25">
      <c r="A746" s="39">
        <v>41745</v>
      </c>
      <c r="B746" s="40">
        <v>103.71</v>
      </c>
    </row>
    <row r="747" spans="1:2" x14ac:dyDescent="0.25">
      <c r="A747" s="39">
        <v>41744</v>
      </c>
      <c r="B747" s="40">
        <v>103.7</v>
      </c>
    </row>
    <row r="748" spans="1:2" x14ac:dyDescent="0.25">
      <c r="A748" s="39">
        <v>41743</v>
      </c>
      <c r="B748" s="40">
        <v>104.05</v>
      </c>
    </row>
    <row r="749" spans="1:2" x14ac:dyDescent="0.25">
      <c r="A749" s="39">
        <v>41740</v>
      </c>
      <c r="B749" s="40">
        <v>103.68</v>
      </c>
    </row>
    <row r="750" spans="1:2" x14ac:dyDescent="0.25">
      <c r="A750" s="39">
        <v>41739</v>
      </c>
      <c r="B750" s="40">
        <v>103.37</v>
      </c>
    </row>
    <row r="751" spans="1:2" x14ac:dyDescent="0.25">
      <c r="A751" s="39">
        <v>41738</v>
      </c>
      <c r="B751" s="40">
        <v>103.55</v>
      </c>
    </row>
    <row r="752" spans="1:2" x14ac:dyDescent="0.25">
      <c r="A752" s="39">
        <v>41737</v>
      </c>
      <c r="B752" s="40">
        <v>102.57</v>
      </c>
    </row>
    <row r="753" spans="1:2" x14ac:dyDescent="0.25">
      <c r="A753" s="39">
        <v>41736</v>
      </c>
      <c r="B753" s="40">
        <v>100.43</v>
      </c>
    </row>
    <row r="754" spans="1:2" x14ac:dyDescent="0.25">
      <c r="A754" s="39">
        <v>41733</v>
      </c>
      <c r="B754" s="40">
        <v>101.16</v>
      </c>
    </row>
    <row r="755" spans="1:2" x14ac:dyDescent="0.25">
      <c r="A755" s="39">
        <v>41732</v>
      </c>
      <c r="B755" s="40">
        <v>100.29</v>
      </c>
    </row>
    <row r="756" spans="1:2" x14ac:dyDescent="0.25">
      <c r="A756" s="39">
        <v>41731</v>
      </c>
      <c r="B756" s="40">
        <v>99.6</v>
      </c>
    </row>
    <row r="757" spans="1:2" x14ac:dyDescent="0.25">
      <c r="A757" s="39">
        <v>41730</v>
      </c>
      <c r="B757" s="40">
        <v>99.69</v>
      </c>
    </row>
    <row r="758" spans="1:2" x14ac:dyDescent="0.25">
      <c r="A758" s="39">
        <v>41729</v>
      </c>
      <c r="B758" s="40">
        <v>101.57</v>
      </c>
    </row>
    <row r="759" spans="1:2" x14ac:dyDescent="0.25">
      <c r="A759" s="39">
        <v>41726</v>
      </c>
      <c r="B759" s="40">
        <v>101.73</v>
      </c>
    </row>
    <row r="760" spans="1:2" x14ac:dyDescent="0.25">
      <c r="A760" s="39">
        <v>41725</v>
      </c>
      <c r="B760" s="40">
        <v>101.25</v>
      </c>
    </row>
    <row r="761" spans="1:2" x14ac:dyDescent="0.25">
      <c r="A761" s="39">
        <v>41724</v>
      </c>
      <c r="B761" s="40">
        <v>100.61</v>
      </c>
    </row>
    <row r="762" spans="1:2" x14ac:dyDescent="0.25">
      <c r="A762" s="39">
        <v>41723</v>
      </c>
      <c r="B762" s="40">
        <v>99.66</v>
      </c>
    </row>
    <row r="763" spans="1:2" x14ac:dyDescent="0.25">
      <c r="A763" s="39">
        <v>41722</v>
      </c>
      <c r="B763" s="40">
        <v>100.05</v>
      </c>
    </row>
    <row r="764" spans="1:2" x14ac:dyDescent="0.25">
      <c r="A764" s="39">
        <v>41719</v>
      </c>
      <c r="B764" s="40">
        <v>99.97</v>
      </c>
    </row>
    <row r="765" spans="1:2" x14ac:dyDescent="0.25">
      <c r="A765" s="39">
        <v>41718</v>
      </c>
      <c r="B765" s="40">
        <v>99.68</v>
      </c>
    </row>
    <row r="766" spans="1:2" x14ac:dyDescent="0.25">
      <c r="A766" s="39">
        <v>41717</v>
      </c>
      <c r="B766" s="40">
        <v>100.71</v>
      </c>
    </row>
    <row r="767" spans="1:2" x14ac:dyDescent="0.25">
      <c r="A767" s="39">
        <v>41716</v>
      </c>
      <c r="B767" s="40">
        <v>100.08</v>
      </c>
    </row>
    <row r="768" spans="1:2" x14ac:dyDescent="0.25">
      <c r="A768" s="39">
        <v>41715</v>
      </c>
      <c r="B768" s="40">
        <v>98.43</v>
      </c>
    </row>
    <row r="769" spans="1:2" x14ac:dyDescent="0.25">
      <c r="A769" s="39">
        <v>41712</v>
      </c>
      <c r="B769" s="40">
        <v>99.23</v>
      </c>
    </row>
    <row r="770" spans="1:2" x14ac:dyDescent="0.25">
      <c r="A770" s="39">
        <v>41711</v>
      </c>
      <c r="B770" s="40">
        <v>98.57</v>
      </c>
    </row>
    <row r="771" spans="1:2" x14ac:dyDescent="0.25">
      <c r="A771" s="39">
        <v>41710</v>
      </c>
      <c r="B771" s="40">
        <v>98.29</v>
      </c>
    </row>
    <row r="772" spans="1:2" x14ac:dyDescent="0.25">
      <c r="A772" s="39">
        <v>41709</v>
      </c>
      <c r="B772" s="40">
        <v>100.29</v>
      </c>
    </row>
    <row r="773" spans="1:2" x14ac:dyDescent="0.25">
      <c r="A773" s="39">
        <v>41708</v>
      </c>
      <c r="B773" s="40">
        <v>101.39</v>
      </c>
    </row>
    <row r="774" spans="1:2" x14ac:dyDescent="0.25">
      <c r="A774" s="39">
        <v>41705</v>
      </c>
      <c r="B774" s="40">
        <v>102.82</v>
      </c>
    </row>
    <row r="775" spans="1:2" x14ac:dyDescent="0.25">
      <c r="A775" s="39">
        <v>41704</v>
      </c>
      <c r="B775" s="40">
        <v>101.82</v>
      </c>
    </row>
    <row r="776" spans="1:2" x14ac:dyDescent="0.25">
      <c r="A776" s="39">
        <v>41703</v>
      </c>
      <c r="B776" s="40">
        <v>101.75</v>
      </c>
    </row>
    <row r="777" spans="1:2" x14ac:dyDescent="0.25">
      <c r="A777" s="39">
        <v>41702</v>
      </c>
      <c r="B777" s="40">
        <v>103.64</v>
      </c>
    </row>
    <row r="778" spans="1:2" x14ac:dyDescent="0.25">
      <c r="A778" s="39">
        <v>41701</v>
      </c>
      <c r="B778" s="40">
        <v>105.34</v>
      </c>
    </row>
    <row r="779" spans="1:2" x14ac:dyDescent="0.25">
      <c r="A779" s="39">
        <v>41698</v>
      </c>
      <c r="B779" s="40">
        <v>102.88</v>
      </c>
    </row>
    <row r="780" spans="1:2" x14ac:dyDescent="0.25">
      <c r="A780" s="39">
        <v>41697</v>
      </c>
      <c r="B780" s="40">
        <v>102.68</v>
      </c>
    </row>
    <row r="781" spans="1:2" x14ac:dyDescent="0.25">
      <c r="A781" s="39">
        <v>41696</v>
      </c>
      <c r="B781" s="40">
        <v>102.93</v>
      </c>
    </row>
    <row r="782" spans="1:2" x14ac:dyDescent="0.25">
      <c r="A782" s="39">
        <v>41695</v>
      </c>
      <c r="B782" s="40">
        <v>102.2</v>
      </c>
    </row>
    <row r="783" spans="1:2" x14ac:dyDescent="0.25">
      <c r="A783" s="39">
        <v>41694</v>
      </c>
      <c r="B783" s="40">
        <v>103.17</v>
      </c>
    </row>
    <row r="784" spans="1:2" x14ac:dyDescent="0.25">
      <c r="A784" s="39">
        <v>41691</v>
      </c>
      <c r="B784" s="40">
        <v>102.53</v>
      </c>
    </row>
    <row r="785" spans="1:2" x14ac:dyDescent="0.25">
      <c r="A785" s="39">
        <v>41690</v>
      </c>
      <c r="B785" s="40">
        <v>103.2</v>
      </c>
    </row>
    <row r="786" spans="1:2" x14ac:dyDescent="0.25">
      <c r="A786" s="39">
        <v>41689</v>
      </c>
      <c r="B786" s="40">
        <v>103.46</v>
      </c>
    </row>
    <row r="787" spans="1:2" x14ac:dyDescent="0.25">
      <c r="A787" s="39">
        <v>41688</v>
      </c>
      <c r="B787" s="40">
        <v>102.54</v>
      </c>
    </row>
    <row r="788" spans="1:2" x14ac:dyDescent="0.25">
      <c r="A788" s="39">
        <v>41684</v>
      </c>
      <c r="B788" s="40">
        <v>100.31</v>
      </c>
    </row>
    <row r="789" spans="1:2" x14ac:dyDescent="0.25">
      <c r="A789" s="39">
        <v>41683</v>
      </c>
      <c r="B789" s="40">
        <v>100.27</v>
      </c>
    </row>
    <row r="790" spans="1:2" x14ac:dyDescent="0.25">
      <c r="A790" s="39">
        <v>41682</v>
      </c>
      <c r="B790" s="40">
        <v>100.38</v>
      </c>
    </row>
    <row r="791" spans="1:2" x14ac:dyDescent="0.25">
      <c r="A791" s="39">
        <v>41681</v>
      </c>
      <c r="B791" s="40">
        <v>99.96</v>
      </c>
    </row>
    <row r="792" spans="1:2" x14ac:dyDescent="0.25">
      <c r="A792" s="39">
        <v>41680</v>
      </c>
      <c r="B792" s="40">
        <v>100.12</v>
      </c>
    </row>
    <row r="793" spans="1:2" x14ac:dyDescent="0.25">
      <c r="A793" s="39">
        <v>41677</v>
      </c>
      <c r="B793" s="40">
        <v>99.98</v>
      </c>
    </row>
    <row r="794" spans="1:2" x14ac:dyDescent="0.25">
      <c r="A794" s="39">
        <v>41676</v>
      </c>
      <c r="B794" s="40">
        <v>97.84</v>
      </c>
    </row>
    <row r="795" spans="1:2" x14ac:dyDescent="0.25">
      <c r="A795" s="39">
        <v>41675</v>
      </c>
      <c r="B795" s="40">
        <v>97.4</v>
      </c>
    </row>
    <row r="796" spans="1:2" x14ac:dyDescent="0.25">
      <c r="A796" s="39">
        <v>41674</v>
      </c>
      <c r="B796" s="40">
        <v>97.24</v>
      </c>
    </row>
    <row r="797" spans="1:2" x14ac:dyDescent="0.25">
      <c r="A797" s="39">
        <v>41673</v>
      </c>
      <c r="B797" s="40">
        <v>96.44</v>
      </c>
    </row>
    <row r="798" spans="1:2" x14ac:dyDescent="0.25">
      <c r="A798" s="39">
        <v>41670</v>
      </c>
      <c r="B798" s="40">
        <v>97.55</v>
      </c>
    </row>
    <row r="799" spans="1:2" x14ac:dyDescent="0.25">
      <c r="A799" s="39">
        <v>41669</v>
      </c>
      <c r="B799" s="40">
        <v>98.25</v>
      </c>
    </row>
    <row r="800" spans="1:2" x14ac:dyDescent="0.25">
      <c r="A800" s="39">
        <v>41668</v>
      </c>
      <c r="B800" s="40">
        <v>97.34</v>
      </c>
    </row>
    <row r="801" spans="1:2" x14ac:dyDescent="0.25">
      <c r="A801" s="39">
        <v>41667</v>
      </c>
      <c r="B801" s="40">
        <v>97.49</v>
      </c>
    </row>
    <row r="802" spans="1:2" x14ac:dyDescent="0.25">
      <c r="A802" s="39">
        <v>41666</v>
      </c>
      <c r="B802" s="40">
        <v>95.82</v>
      </c>
    </row>
    <row r="803" spans="1:2" x14ac:dyDescent="0.25">
      <c r="A803" s="39">
        <v>41663</v>
      </c>
      <c r="B803" s="40">
        <v>96.66</v>
      </c>
    </row>
    <row r="804" spans="1:2" x14ac:dyDescent="0.25">
      <c r="A804" s="39">
        <v>41662</v>
      </c>
      <c r="B804" s="40">
        <v>97.23</v>
      </c>
    </row>
    <row r="805" spans="1:2" x14ac:dyDescent="0.25">
      <c r="A805" s="39">
        <v>41661</v>
      </c>
      <c r="B805" s="40">
        <v>96.35</v>
      </c>
    </row>
    <row r="806" spans="1:2" x14ac:dyDescent="0.25">
      <c r="A806" s="39">
        <v>41660</v>
      </c>
      <c r="B806" s="40">
        <v>94.51</v>
      </c>
    </row>
    <row r="807" spans="1:2" x14ac:dyDescent="0.25">
      <c r="A807" s="39">
        <v>41656</v>
      </c>
      <c r="B807" s="40">
        <v>93.96</v>
      </c>
    </row>
    <row r="808" spans="1:2" x14ac:dyDescent="0.25">
      <c r="A808" s="39">
        <v>41655</v>
      </c>
      <c r="B808" s="40">
        <v>93.54</v>
      </c>
    </row>
    <row r="809" spans="1:2" x14ac:dyDescent="0.25">
      <c r="A809" s="39">
        <v>41654</v>
      </c>
      <c r="B809" s="40">
        <v>93.78</v>
      </c>
    </row>
    <row r="810" spans="1:2" x14ac:dyDescent="0.25">
      <c r="A810" s="39">
        <v>41653</v>
      </c>
      <c r="B810" s="40">
        <v>92.15</v>
      </c>
    </row>
    <row r="811" spans="1:2" x14ac:dyDescent="0.25">
      <c r="A811" s="39">
        <v>41652</v>
      </c>
      <c r="B811" s="40">
        <v>91.45</v>
      </c>
    </row>
    <row r="812" spans="1:2" x14ac:dyDescent="0.25">
      <c r="A812" s="39">
        <v>41649</v>
      </c>
      <c r="B812" s="40">
        <v>92.39</v>
      </c>
    </row>
    <row r="813" spans="1:2" x14ac:dyDescent="0.25">
      <c r="A813" s="39">
        <v>41648</v>
      </c>
      <c r="B813" s="40">
        <v>91.36</v>
      </c>
    </row>
    <row r="814" spans="1:2" x14ac:dyDescent="0.25">
      <c r="A814" s="39">
        <v>41647</v>
      </c>
      <c r="B814" s="40">
        <v>91.9</v>
      </c>
    </row>
    <row r="815" spans="1:2" x14ac:dyDescent="0.25">
      <c r="A815" s="39">
        <v>41646</v>
      </c>
      <c r="B815" s="40">
        <v>93.31</v>
      </c>
    </row>
    <row r="816" spans="1:2" x14ac:dyDescent="0.25">
      <c r="A816" s="39">
        <v>41645</v>
      </c>
      <c r="B816" s="40">
        <v>93.12</v>
      </c>
    </row>
    <row r="817" spans="1:2" x14ac:dyDescent="0.25">
      <c r="A817" s="39">
        <v>41642</v>
      </c>
      <c r="B817" s="40">
        <v>93.66</v>
      </c>
    </row>
    <row r="818" spans="1:2" x14ac:dyDescent="0.25">
      <c r="A818" s="39">
        <v>41641</v>
      </c>
      <c r="B818" s="40">
        <v>95.14</v>
      </c>
    </row>
  </sheetData>
  <mergeCells count="1">
    <mergeCell ref="F154:P154"/>
  </mergeCells>
  <hyperlinks>
    <hyperlink ref="F154:P154" r:id="rId1" display="http://www.reuters.com/article/us-opec-meeting-idUSKCN0JA0O320141128"/>
  </hyperlinks>
  <pageMargins left="0.7" right="0.7" top="0.75" bottom="0.75" header="0.3" footer="0.3"/>
  <pageSetup orientation="portrait" verticalDpi="0" r:id="rId2"/>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T819"/>
  <sheetViews>
    <sheetView tabSelected="1" topLeftCell="A239" zoomScaleNormal="100" workbookViewId="0">
      <selection activeCell="I248" sqref="I248"/>
    </sheetView>
  </sheetViews>
  <sheetFormatPr defaultRowHeight="15" x14ac:dyDescent="0.25"/>
  <cols>
    <col min="9" max="9" width="11" customWidth="1"/>
    <col min="12" max="12" width="11.42578125" customWidth="1"/>
    <col min="17" max="17" width="12.42578125" style="21" customWidth="1"/>
    <col min="18" max="18" width="12.42578125" customWidth="1"/>
    <col min="19" max="19" width="11.42578125" customWidth="1"/>
  </cols>
  <sheetData>
    <row r="1" spans="17:19" x14ac:dyDescent="0.25">
      <c r="Q1" s="37" t="s">
        <v>54</v>
      </c>
      <c r="R1" s="38" t="s">
        <v>55</v>
      </c>
      <c r="S1" s="38" t="s">
        <v>81</v>
      </c>
    </row>
    <row r="2" spans="17:19" x14ac:dyDescent="0.25">
      <c r="Q2" s="39">
        <v>42373</v>
      </c>
      <c r="R2" s="40">
        <v>36.81</v>
      </c>
      <c r="S2" s="40">
        <v>310</v>
      </c>
    </row>
    <row r="3" spans="17:19" x14ac:dyDescent="0.25">
      <c r="Q3" s="39">
        <v>42374</v>
      </c>
      <c r="R3" s="40">
        <v>35.97</v>
      </c>
      <c r="S3" s="40">
        <v>309</v>
      </c>
    </row>
    <row r="4" spans="17:19" x14ac:dyDescent="0.25">
      <c r="Q4" s="39">
        <v>42375</v>
      </c>
      <c r="R4" s="40">
        <v>33.97</v>
      </c>
      <c r="S4" s="40">
        <v>308</v>
      </c>
    </row>
    <row r="5" spans="17:19" x14ac:dyDescent="0.25">
      <c r="Q5" s="39">
        <v>42376</v>
      </c>
      <c r="R5" s="40">
        <v>33.29</v>
      </c>
      <c r="S5" s="40">
        <v>307</v>
      </c>
    </row>
    <row r="6" spans="17:19" x14ac:dyDescent="0.25">
      <c r="Q6" s="39">
        <v>42377</v>
      </c>
      <c r="R6" s="40">
        <v>33.200000000000003</v>
      </c>
      <c r="S6" s="40">
        <v>306</v>
      </c>
    </row>
    <row r="7" spans="17:19" x14ac:dyDescent="0.25">
      <c r="Q7" s="39">
        <v>42380</v>
      </c>
      <c r="R7" s="40">
        <v>31.42</v>
      </c>
      <c r="S7" s="40">
        <v>305</v>
      </c>
    </row>
    <row r="8" spans="17:19" x14ac:dyDescent="0.25">
      <c r="Q8" s="39">
        <v>42381</v>
      </c>
      <c r="R8" s="40">
        <v>30.42</v>
      </c>
      <c r="S8" s="40">
        <v>304</v>
      </c>
    </row>
    <row r="9" spans="17:19" x14ac:dyDescent="0.25">
      <c r="Q9" s="39">
        <v>42382</v>
      </c>
      <c r="R9" s="40">
        <v>30.42</v>
      </c>
      <c r="S9" s="40">
        <v>303</v>
      </c>
    </row>
    <row r="10" spans="17:19" x14ac:dyDescent="0.25">
      <c r="Q10" s="39">
        <v>42383</v>
      </c>
      <c r="R10" s="40">
        <v>31.22</v>
      </c>
      <c r="S10" s="40">
        <v>302</v>
      </c>
    </row>
    <row r="11" spans="17:19" x14ac:dyDescent="0.25">
      <c r="Q11" s="39">
        <v>42384</v>
      </c>
      <c r="R11" s="40">
        <v>29.45</v>
      </c>
      <c r="S11" s="40">
        <v>301</v>
      </c>
    </row>
    <row r="12" spans="17:19" x14ac:dyDescent="0.25">
      <c r="Q12" s="39">
        <v>42388</v>
      </c>
      <c r="R12" s="40">
        <v>28.47</v>
      </c>
      <c r="S12" s="40">
        <v>300</v>
      </c>
    </row>
    <row r="13" spans="17:19" x14ac:dyDescent="0.25">
      <c r="Q13" s="39">
        <v>42389</v>
      </c>
      <c r="R13" s="40">
        <v>26.68</v>
      </c>
      <c r="S13" s="40">
        <v>299</v>
      </c>
    </row>
    <row r="14" spans="17:19" x14ac:dyDescent="0.25">
      <c r="Q14" s="39">
        <v>42390</v>
      </c>
      <c r="R14" s="40">
        <v>29.55</v>
      </c>
      <c r="S14" s="40">
        <v>298</v>
      </c>
    </row>
    <row r="15" spans="17:19" x14ac:dyDescent="0.25">
      <c r="Q15" s="39">
        <v>42391</v>
      </c>
      <c r="R15" s="40">
        <v>32.07</v>
      </c>
      <c r="S15" s="40">
        <v>297</v>
      </c>
    </row>
    <row r="16" spans="17:19" x14ac:dyDescent="0.25">
      <c r="Q16" s="39">
        <v>42394</v>
      </c>
      <c r="R16" s="40">
        <v>30.31</v>
      </c>
      <c r="S16" s="40">
        <v>296</v>
      </c>
    </row>
    <row r="17" spans="17:19" x14ac:dyDescent="0.25">
      <c r="Q17" s="39">
        <v>42395</v>
      </c>
      <c r="R17" s="40">
        <v>29.54</v>
      </c>
      <c r="S17" s="40">
        <v>295</v>
      </c>
    </row>
    <row r="18" spans="17:19" x14ac:dyDescent="0.25">
      <c r="Q18" s="39">
        <v>42396</v>
      </c>
      <c r="R18" s="40">
        <v>32.32</v>
      </c>
      <c r="S18" s="40">
        <v>294</v>
      </c>
    </row>
    <row r="19" spans="17:19" x14ac:dyDescent="0.25">
      <c r="Q19" s="39">
        <v>42397</v>
      </c>
      <c r="R19" s="40">
        <v>33.21</v>
      </c>
      <c r="S19" s="40">
        <v>293</v>
      </c>
    </row>
    <row r="20" spans="17:19" x14ac:dyDescent="0.25">
      <c r="Q20" s="39">
        <v>42398</v>
      </c>
      <c r="R20" s="40">
        <v>33.659999999999997</v>
      </c>
      <c r="S20" s="40">
        <v>292</v>
      </c>
    </row>
    <row r="21" spans="17:19" x14ac:dyDescent="0.25">
      <c r="Q21" s="39">
        <v>42401</v>
      </c>
      <c r="R21" s="40">
        <v>31.62</v>
      </c>
      <c r="S21" s="40">
        <v>291</v>
      </c>
    </row>
    <row r="22" spans="17:19" x14ac:dyDescent="0.25">
      <c r="Q22" s="39">
        <v>42402</v>
      </c>
      <c r="R22" s="40">
        <v>29.9</v>
      </c>
      <c r="S22" s="40">
        <v>290</v>
      </c>
    </row>
    <row r="23" spans="17:19" x14ac:dyDescent="0.25">
      <c r="Q23" s="39">
        <v>42403</v>
      </c>
      <c r="R23" s="40">
        <v>32.29</v>
      </c>
      <c r="S23" s="40">
        <v>289</v>
      </c>
    </row>
    <row r="24" spans="17:19" x14ac:dyDescent="0.25">
      <c r="Q24" s="39">
        <v>42404</v>
      </c>
      <c r="R24" s="40">
        <v>31.63</v>
      </c>
      <c r="S24" s="40">
        <v>288</v>
      </c>
    </row>
    <row r="25" spans="17:19" x14ac:dyDescent="0.25">
      <c r="Q25" s="39">
        <v>42405</v>
      </c>
      <c r="R25" s="40">
        <v>30.86</v>
      </c>
      <c r="S25" s="40">
        <v>287</v>
      </c>
    </row>
    <row r="26" spans="17:19" x14ac:dyDescent="0.25">
      <c r="Q26" s="39">
        <v>42408</v>
      </c>
      <c r="R26" s="40">
        <v>29.71</v>
      </c>
      <c r="S26" s="40">
        <v>286</v>
      </c>
    </row>
    <row r="27" spans="17:19" x14ac:dyDescent="0.25">
      <c r="Q27" s="39">
        <v>42409</v>
      </c>
      <c r="R27" s="40">
        <v>27.96</v>
      </c>
      <c r="S27" s="40">
        <v>285</v>
      </c>
    </row>
    <row r="28" spans="17:19" x14ac:dyDescent="0.25">
      <c r="Q28" s="39">
        <v>42410</v>
      </c>
      <c r="R28" s="40">
        <v>27.54</v>
      </c>
      <c r="S28" s="40">
        <v>284</v>
      </c>
    </row>
    <row r="29" spans="17:19" x14ac:dyDescent="0.25">
      <c r="Q29" s="39">
        <v>42411</v>
      </c>
      <c r="R29" s="40">
        <v>26.19</v>
      </c>
      <c r="S29" s="40">
        <v>283</v>
      </c>
    </row>
    <row r="30" spans="17:19" x14ac:dyDescent="0.25">
      <c r="Q30" s="39">
        <v>42412</v>
      </c>
      <c r="R30" s="40">
        <v>29.32</v>
      </c>
      <c r="S30" s="40">
        <v>282</v>
      </c>
    </row>
    <row r="31" spans="17:19" x14ac:dyDescent="0.25">
      <c r="Q31" s="39">
        <v>42416</v>
      </c>
      <c r="R31" s="40">
        <v>29.05</v>
      </c>
      <c r="S31" s="40">
        <v>281</v>
      </c>
    </row>
    <row r="32" spans="17:19" x14ac:dyDescent="0.25">
      <c r="Q32" s="39">
        <v>42417</v>
      </c>
      <c r="R32" s="40">
        <v>30.68</v>
      </c>
      <c r="S32" s="40">
        <v>280</v>
      </c>
    </row>
    <row r="33" spans="17:19" x14ac:dyDescent="0.25">
      <c r="Q33" s="39">
        <v>42418</v>
      </c>
      <c r="R33" s="40">
        <v>30.77</v>
      </c>
      <c r="S33" s="40">
        <v>279</v>
      </c>
    </row>
    <row r="34" spans="17:19" x14ac:dyDescent="0.25">
      <c r="Q34" s="39">
        <v>42419</v>
      </c>
      <c r="R34" s="40">
        <v>29.59</v>
      </c>
      <c r="S34" s="40">
        <v>278</v>
      </c>
    </row>
    <row r="35" spans="17:19" x14ac:dyDescent="0.25">
      <c r="Q35" s="39">
        <v>42422</v>
      </c>
      <c r="R35" s="40">
        <v>31.37</v>
      </c>
      <c r="S35" s="40">
        <v>277</v>
      </c>
    </row>
    <row r="36" spans="17:19" x14ac:dyDescent="0.25">
      <c r="Q36" s="39">
        <v>42423</v>
      </c>
      <c r="R36" s="40">
        <v>31.84</v>
      </c>
      <c r="S36" s="40">
        <v>276</v>
      </c>
    </row>
    <row r="37" spans="17:19" x14ac:dyDescent="0.25">
      <c r="Q37" s="39">
        <v>42424</v>
      </c>
      <c r="R37" s="40">
        <v>30.35</v>
      </c>
      <c r="S37" s="40">
        <v>275</v>
      </c>
    </row>
    <row r="38" spans="17:19" x14ac:dyDescent="0.25">
      <c r="Q38" s="39">
        <v>42425</v>
      </c>
      <c r="R38" s="40">
        <v>31.4</v>
      </c>
      <c r="S38" s="40">
        <v>274</v>
      </c>
    </row>
    <row r="39" spans="17:19" x14ac:dyDescent="0.25">
      <c r="Q39" s="39">
        <v>42426</v>
      </c>
      <c r="R39" s="40">
        <v>31.65</v>
      </c>
      <c r="S39" s="40">
        <v>273</v>
      </c>
    </row>
    <row r="40" spans="17:19" x14ac:dyDescent="0.25">
      <c r="Q40" s="39">
        <v>42429</v>
      </c>
      <c r="R40" s="40">
        <v>32.74</v>
      </c>
      <c r="S40" s="40">
        <v>272</v>
      </c>
    </row>
    <row r="41" spans="17:19" x14ac:dyDescent="0.25">
      <c r="Q41" s="39">
        <v>42430</v>
      </c>
      <c r="R41" s="40">
        <v>34.39</v>
      </c>
      <c r="S41" s="40">
        <v>271</v>
      </c>
    </row>
    <row r="42" spans="17:19" x14ac:dyDescent="0.25">
      <c r="Q42" s="39">
        <v>42431</v>
      </c>
      <c r="R42" s="40">
        <v>34.57</v>
      </c>
      <c r="S42" s="40">
        <v>270</v>
      </c>
    </row>
    <row r="43" spans="17:19" x14ac:dyDescent="0.25">
      <c r="Q43" s="39">
        <v>42432</v>
      </c>
      <c r="R43" s="40">
        <v>34.56</v>
      </c>
      <c r="S43" s="40">
        <v>269</v>
      </c>
    </row>
    <row r="44" spans="17:19" x14ac:dyDescent="0.25">
      <c r="Q44" s="39">
        <v>42433</v>
      </c>
      <c r="R44" s="40">
        <v>35.909999999999997</v>
      </c>
      <c r="S44" s="40">
        <v>268</v>
      </c>
    </row>
    <row r="45" spans="17:19" x14ac:dyDescent="0.25">
      <c r="Q45" s="39">
        <v>42436</v>
      </c>
      <c r="R45" s="40">
        <v>37.9</v>
      </c>
      <c r="S45" s="40">
        <v>267</v>
      </c>
    </row>
    <row r="46" spans="17:19" x14ac:dyDescent="0.25">
      <c r="Q46" s="39">
        <v>42437</v>
      </c>
      <c r="R46" s="40">
        <v>36.67</v>
      </c>
      <c r="S46" s="40">
        <v>266</v>
      </c>
    </row>
    <row r="47" spans="17:19" x14ac:dyDescent="0.25">
      <c r="Q47" s="39">
        <v>42438</v>
      </c>
      <c r="R47" s="40">
        <v>37.619999999999997</v>
      </c>
      <c r="S47" s="40">
        <v>265</v>
      </c>
    </row>
    <row r="48" spans="17:19" x14ac:dyDescent="0.25">
      <c r="Q48" s="39">
        <v>42439</v>
      </c>
      <c r="R48" s="40">
        <v>37.770000000000003</v>
      </c>
      <c r="S48" s="40">
        <v>264</v>
      </c>
    </row>
    <row r="49" spans="17:19" x14ac:dyDescent="0.25">
      <c r="Q49" s="39">
        <v>42440</v>
      </c>
      <c r="R49" s="40">
        <v>38.51</v>
      </c>
      <c r="S49" s="40">
        <v>263</v>
      </c>
    </row>
    <row r="50" spans="17:19" x14ac:dyDescent="0.25">
      <c r="Q50" s="39">
        <v>42443</v>
      </c>
      <c r="R50" s="40">
        <v>37.200000000000003</v>
      </c>
      <c r="S50" s="40">
        <v>262</v>
      </c>
    </row>
    <row r="51" spans="17:19" x14ac:dyDescent="0.25">
      <c r="Q51" s="39">
        <v>42444</v>
      </c>
      <c r="R51" s="40">
        <v>36.32</v>
      </c>
      <c r="S51" s="40">
        <v>261</v>
      </c>
    </row>
    <row r="52" spans="17:19" x14ac:dyDescent="0.25">
      <c r="Q52" s="39">
        <v>42445</v>
      </c>
      <c r="R52" s="40">
        <v>38.43</v>
      </c>
      <c r="S52" s="40">
        <v>260</v>
      </c>
    </row>
    <row r="53" spans="17:19" x14ac:dyDescent="0.25">
      <c r="Q53" s="39">
        <v>42446</v>
      </c>
      <c r="R53" s="40">
        <v>40.17</v>
      </c>
      <c r="S53" s="40">
        <v>259</v>
      </c>
    </row>
    <row r="54" spans="17:19" x14ac:dyDescent="0.25">
      <c r="Q54" s="39">
        <v>42447</v>
      </c>
      <c r="R54" s="40">
        <v>39.47</v>
      </c>
      <c r="S54" s="40">
        <v>258</v>
      </c>
    </row>
    <row r="55" spans="17:19" x14ac:dyDescent="0.25">
      <c r="Q55" s="39">
        <v>42450</v>
      </c>
      <c r="R55" s="40">
        <v>39.909999999999997</v>
      </c>
      <c r="S55" s="40">
        <v>257</v>
      </c>
    </row>
    <row r="56" spans="17:19" x14ac:dyDescent="0.25">
      <c r="Q56" s="39">
        <v>42451</v>
      </c>
      <c r="R56" s="40">
        <v>41.45</v>
      </c>
      <c r="S56" s="40">
        <v>256</v>
      </c>
    </row>
    <row r="57" spans="17:19" x14ac:dyDescent="0.25">
      <c r="Q57" s="39">
        <v>42452</v>
      </c>
      <c r="R57" s="40">
        <v>38.28</v>
      </c>
      <c r="S57" s="40">
        <v>255</v>
      </c>
    </row>
    <row r="58" spans="17:19" x14ac:dyDescent="0.25">
      <c r="Q58" s="39">
        <v>42453</v>
      </c>
      <c r="R58" s="40">
        <v>38.14</v>
      </c>
      <c r="S58" s="40">
        <v>254</v>
      </c>
    </row>
    <row r="59" spans="17:19" x14ac:dyDescent="0.25">
      <c r="Q59" s="39">
        <v>42457</v>
      </c>
      <c r="R59" s="40">
        <v>37.99</v>
      </c>
      <c r="S59" s="40">
        <v>253</v>
      </c>
    </row>
    <row r="60" spans="17:19" x14ac:dyDescent="0.25">
      <c r="Q60" s="39">
        <v>42458</v>
      </c>
      <c r="R60" s="40">
        <v>36.909999999999997</v>
      </c>
      <c r="S60" s="40">
        <v>252</v>
      </c>
    </row>
    <row r="61" spans="17:19" x14ac:dyDescent="0.25">
      <c r="Q61" s="39">
        <v>42459</v>
      </c>
      <c r="R61" s="40">
        <v>36.909999999999997</v>
      </c>
      <c r="S61" s="40">
        <v>251</v>
      </c>
    </row>
    <row r="62" spans="17:19" x14ac:dyDescent="0.25">
      <c r="Q62" s="39">
        <v>42460</v>
      </c>
      <c r="R62" s="40">
        <v>36.94</v>
      </c>
      <c r="S62" s="40">
        <v>250</v>
      </c>
    </row>
    <row r="63" spans="17:19" x14ac:dyDescent="0.25">
      <c r="Q63" s="39">
        <v>42461</v>
      </c>
      <c r="R63" s="40">
        <v>35.36</v>
      </c>
      <c r="S63" s="40">
        <v>249</v>
      </c>
    </row>
    <row r="64" spans="17:19" x14ac:dyDescent="0.25">
      <c r="Q64" s="39">
        <v>42464</v>
      </c>
      <c r="R64" s="40">
        <v>34.299999999999997</v>
      </c>
      <c r="S64" s="40">
        <v>248</v>
      </c>
    </row>
    <row r="65" spans="17:19" x14ac:dyDescent="0.25">
      <c r="Q65" s="39">
        <v>42465</v>
      </c>
      <c r="R65" s="40">
        <v>34.520000000000003</v>
      </c>
      <c r="S65" s="40">
        <v>247</v>
      </c>
    </row>
    <row r="66" spans="17:19" x14ac:dyDescent="0.25">
      <c r="Q66" s="39">
        <v>42466</v>
      </c>
      <c r="R66" s="40">
        <v>37.74</v>
      </c>
      <c r="S66" s="40">
        <v>246</v>
      </c>
    </row>
    <row r="67" spans="17:19" x14ac:dyDescent="0.25">
      <c r="Q67" s="39">
        <v>42467</v>
      </c>
      <c r="R67" s="40">
        <v>37.299999999999997</v>
      </c>
      <c r="S67" s="40">
        <v>245</v>
      </c>
    </row>
    <row r="68" spans="17:19" x14ac:dyDescent="0.25">
      <c r="Q68" s="39">
        <v>42468</v>
      </c>
      <c r="R68" s="40">
        <v>39.74</v>
      </c>
      <c r="S68" s="40">
        <v>244</v>
      </c>
    </row>
    <row r="69" spans="17:19" x14ac:dyDescent="0.25">
      <c r="Q69" s="39">
        <v>42471</v>
      </c>
      <c r="R69" s="40">
        <v>40.46</v>
      </c>
      <c r="S69" s="40">
        <v>243</v>
      </c>
    </row>
    <row r="70" spans="17:19" x14ac:dyDescent="0.25">
      <c r="Q70" s="39">
        <v>42472</v>
      </c>
      <c r="R70" s="40">
        <v>42.12</v>
      </c>
      <c r="S70" s="40">
        <v>242</v>
      </c>
    </row>
    <row r="71" spans="17:19" x14ac:dyDescent="0.25">
      <c r="Q71" s="39">
        <v>42473</v>
      </c>
      <c r="R71" s="40">
        <v>41.7</v>
      </c>
      <c r="S71" s="40">
        <v>241</v>
      </c>
    </row>
    <row r="72" spans="17:19" x14ac:dyDescent="0.25">
      <c r="Q72" s="39">
        <v>42474</v>
      </c>
      <c r="R72" s="40">
        <v>41.45</v>
      </c>
      <c r="S72" s="40">
        <v>240</v>
      </c>
    </row>
    <row r="73" spans="17:19" x14ac:dyDescent="0.25">
      <c r="Q73" s="39">
        <v>42475</v>
      </c>
      <c r="R73" s="40">
        <v>40.4</v>
      </c>
      <c r="S73" s="40">
        <v>239</v>
      </c>
    </row>
    <row r="74" spans="17:19" x14ac:dyDescent="0.25">
      <c r="Q74" s="39">
        <v>42478</v>
      </c>
      <c r="R74" s="40">
        <v>39.74</v>
      </c>
      <c r="S74" s="40">
        <v>238</v>
      </c>
    </row>
    <row r="75" spans="17:19" x14ac:dyDescent="0.25">
      <c r="Q75" s="39">
        <v>42479</v>
      </c>
      <c r="R75" s="40">
        <v>40.880000000000003</v>
      </c>
      <c r="S75" s="40">
        <v>237</v>
      </c>
    </row>
    <row r="76" spans="17:19" x14ac:dyDescent="0.25">
      <c r="Q76" s="39">
        <v>42480</v>
      </c>
      <c r="R76" s="40">
        <v>42.72</v>
      </c>
      <c r="S76" s="40">
        <v>236</v>
      </c>
    </row>
    <row r="77" spans="17:19" x14ac:dyDescent="0.25">
      <c r="Q77" s="39">
        <v>42481</v>
      </c>
      <c r="R77" s="40">
        <v>43.18</v>
      </c>
      <c r="S77" s="40">
        <v>235</v>
      </c>
    </row>
    <row r="78" spans="17:19" x14ac:dyDescent="0.25">
      <c r="Q78" s="39">
        <v>42482</v>
      </c>
      <c r="R78" s="40">
        <v>42.76</v>
      </c>
      <c r="S78" s="40">
        <v>234</v>
      </c>
    </row>
    <row r="79" spans="17:19" x14ac:dyDescent="0.25">
      <c r="Q79" s="39">
        <v>42485</v>
      </c>
      <c r="R79" s="40">
        <v>41.67</v>
      </c>
      <c r="S79" s="40">
        <v>233</v>
      </c>
    </row>
    <row r="80" spans="17:19" x14ac:dyDescent="0.25">
      <c r="Q80" s="39">
        <v>42486</v>
      </c>
      <c r="R80" s="40">
        <v>42.52</v>
      </c>
      <c r="S80" s="40">
        <v>232</v>
      </c>
    </row>
    <row r="81" spans="17:19" x14ac:dyDescent="0.25">
      <c r="Q81" s="39">
        <v>42487</v>
      </c>
      <c r="R81" s="40">
        <v>45.29</v>
      </c>
      <c r="S81" s="40">
        <v>231</v>
      </c>
    </row>
    <row r="82" spans="17:19" x14ac:dyDescent="0.25">
      <c r="Q82" s="39">
        <v>42488</v>
      </c>
      <c r="R82" s="40">
        <v>46.03</v>
      </c>
      <c r="S82" s="40">
        <v>230</v>
      </c>
    </row>
    <row r="83" spans="17:19" x14ac:dyDescent="0.25">
      <c r="Q83" s="39">
        <v>42489</v>
      </c>
      <c r="R83" s="40">
        <v>45.98</v>
      </c>
      <c r="S83" s="40">
        <v>229</v>
      </c>
    </row>
    <row r="84" spans="17:19" x14ac:dyDescent="0.25">
      <c r="Q84" s="39">
        <v>42492</v>
      </c>
      <c r="R84" s="40">
        <v>44.75</v>
      </c>
      <c r="S84" s="40">
        <v>228</v>
      </c>
    </row>
    <row r="85" spans="17:19" x14ac:dyDescent="0.25">
      <c r="Q85" s="39">
        <v>42493</v>
      </c>
      <c r="R85" s="40">
        <v>43.65</v>
      </c>
      <c r="S85" s="40">
        <v>227</v>
      </c>
    </row>
    <row r="86" spans="17:19" x14ac:dyDescent="0.25">
      <c r="Q86" s="39">
        <v>42494</v>
      </c>
      <c r="R86" s="40">
        <v>43.77</v>
      </c>
      <c r="S86" s="40">
        <v>226</v>
      </c>
    </row>
    <row r="87" spans="17:19" x14ac:dyDescent="0.25">
      <c r="Q87" s="39">
        <v>42495</v>
      </c>
      <c r="R87" s="40">
        <v>44.33</v>
      </c>
      <c r="S87" s="40">
        <v>225</v>
      </c>
    </row>
    <row r="88" spans="17:19" x14ac:dyDescent="0.25">
      <c r="Q88" s="39">
        <v>42496</v>
      </c>
      <c r="R88" s="40">
        <v>44.58</v>
      </c>
      <c r="S88" s="40">
        <v>224</v>
      </c>
    </row>
    <row r="89" spans="17:19" x14ac:dyDescent="0.25">
      <c r="Q89" s="39">
        <v>42499</v>
      </c>
      <c r="R89" s="40">
        <v>43.45</v>
      </c>
      <c r="S89" s="40">
        <v>223</v>
      </c>
    </row>
    <row r="90" spans="17:19" x14ac:dyDescent="0.25">
      <c r="Q90" s="39">
        <v>42500</v>
      </c>
      <c r="R90" s="40">
        <v>44.68</v>
      </c>
      <c r="S90" s="40">
        <v>222</v>
      </c>
    </row>
    <row r="91" spans="17:19" x14ac:dyDescent="0.25">
      <c r="Q91" s="39">
        <v>42501</v>
      </c>
      <c r="R91" s="40">
        <v>46.21</v>
      </c>
      <c r="S91" s="40">
        <v>221</v>
      </c>
    </row>
    <row r="92" spans="17:19" x14ac:dyDescent="0.25">
      <c r="Q92" s="39">
        <v>42502</v>
      </c>
      <c r="R92" s="40">
        <v>46.64</v>
      </c>
      <c r="S92" s="40">
        <v>220</v>
      </c>
    </row>
    <row r="93" spans="17:19" x14ac:dyDescent="0.25">
      <c r="Q93" s="39">
        <v>42503</v>
      </c>
      <c r="R93" s="40">
        <v>46.22</v>
      </c>
      <c r="S93" s="40">
        <v>219</v>
      </c>
    </row>
    <row r="94" spans="17:19" x14ac:dyDescent="0.25">
      <c r="Q94" s="39">
        <v>42506</v>
      </c>
      <c r="R94" s="40">
        <v>47.72</v>
      </c>
      <c r="S94" s="40">
        <v>218</v>
      </c>
    </row>
    <row r="95" spans="17:19" x14ac:dyDescent="0.25">
      <c r="Q95" s="39">
        <v>42507</v>
      </c>
      <c r="R95" s="40">
        <v>48.29</v>
      </c>
      <c r="S95" s="40">
        <v>217</v>
      </c>
    </row>
    <row r="96" spans="17:19" x14ac:dyDescent="0.25">
      <c r="Q96" s="39">
        <v>42508</v>
      </c>
      <c r="R96" s="40">
        <v>48.12</v>
      </c>
      <c r="S96" s="40">
        <v>216</v>
      </c>
    </row>
    <row r="97" spans="1:19" x14ac:dyDescent="0.25">
      <c r="Q97" s="39">
        <v>42509</v>
      </c>
      <c r="R97" s="40">
        <v>48.16</v>
      </c>
      <c r="S97" s="40">
        <v>215</v>
      </c>
    </row>
    <row r="98" spans="1:19" x14ac:dyDescent="0.25">
      <c r="Q98" s="39">
        <v>42510</v>
      </c>
      <c r="R98" s="40">
        <v>47.67</v>
      </c>
      <c r="S98" s="40">
        <v>214</v>
      </c>
    </row>
    <row r="99" spans="1:19" x14ac:dyDescent="0.25">
      <c r="Q99" s="39">
        <v>42513</v>
      </c>
      <c r="R99" s="40">
        <v>48.12</v>
      </c>
      <c r="S99" s="40">
        <v>213</v>
      </c>
    </row>
    <row r="100" spans="1:19" x14ac:dyDescent="0.25">
      <c r="Q100" s="39">
        <v>42514</v>
      </c>
      <c r="R100" s="40">
        <v>48.04</v>
      </c>
      <c r="S100" s="40">
        <v>212</v>
      </c>
    </row>
    <row r="101" spans="1:19" x14ac:dyDescent="0.25">
      <c r="Q101" s="39">
        <v>42515</v>
      </c>
      <c r="R101" s="40">
        <v>49.1</v>
      </c>
      <c r="S101" s="40">
        <v>211</v>
      </c>
    </row>
    <row r="102" spans="1:19" x14ac:dyDescent="0.25">
      <c r="Q102" s="39">
        <v>42516</v>
      </c>
      <c r="R102" s="40">
        <v>49</v>
      </c>
      <c r="S102" s="40">
        <v>210</v>
      </c>
    </row>
    <row r="103" spans="1:19" x14ac:dyDescent="0.25">
      <c r="Q103" s="39">
        <v>42517</v>
      </c>
      <c r="R103" s="40">
        <v>49.36</v>
      </c>
      <c r="S103" s="40">
        <v>209</v>
      </c>
    </row>
    <row r="104" spans="1:19" x14ac:dyDescent="0.25">
      <c r="Q104" s="39">
        <v>42521</v>
      </c>
      <c r="R104" s="40">
        <v>49.1</v>
      </c>
      <c r="S104" s="40">
        <v>208</v>
      </c>
    </row>
    <row r="105" spans="1:19" x14ac:dyDescent="0.25">
      <c r="Q105" s="39">
        <v>42522</v>
      </c>
      <c r="R105" s="40">
        <v>49.07</v>
      </c>
      <c r="S105" s="40">
        <v>207</v>
      </c>
    </row>
    <row r="106" spans="1:19" x14ac:dyDescent="0.25">
      <c r="Q106" s="39">
        <v>42523</v>
      </c>
      <c r="R106" s="40">
        <v>49.14</v>
      </c>
      <c r="S106" s="40">
        <v>206</v>
      </c>
    </row>
    <row r="107" spans="1:19" x14ac:dyDescent="0.25">
      <c r="Q107" s="39">
        <v>42524</v>
      </c>
      <c r="R107" s="40">
        <v>48.69</v>
      </c>
      <c r="S107" s="40">
        <v>205</v>
      </c>
    </row>
    <row r="108" spans="1:19" x14ac:dyDescent="0.25">
      <c r="Q108" s="39">
        <v>42527</v>
      </c>
      <c r="R108" s="40">
        <v>49.71</v>
      </c>
      <c r="S108" s="40">
        <v>204</v>
      </c>
    </row>
    <row r="109" spans="1:19" x14ac:dyDescent="0.25">
      <c r="Q109" s="39">
        <v>42528</v>
      </c>
      <c r="R109" s="40">
        <v>50.37</v>
      </c>
      <c r="S109" s="40">
        <v>203</v>
      </c>
    </row>
    <row r="110" spans="1:19" ht="15.75" x14ac:dyDescent="0.25">
      <c r="A110" s="73" t="s">
        <v>61</v>
      </c>
      <c r="B110" s="73"/>
      <c r="C110" s="73"/>
      <c r="D110" s="73"/>
      <c r="E110" s="73"/>
      <c r="F110" s="73"/>
      <c r="G110" s="73"/>
      <c r="H110" s="73"/>
      <c r="Q110" s="39">
        <v>42529</v>
      </c>
      <c r="R110" s="40">
        <v>51.23</v>
      </c>
      <c r="S110" s="40">
        <v>202</v>
      </c>
    </row>
    <row r="111" spans="1:19" x14ac:dyDescent="0.25">
      <c r="Q111" s="39">
        <v>42530</v>
      </c>
      <c r="R111" s="40">
        <v>50.52</v>
      </c>
      <c r="S111" s="40">
        <v>201</v>
      </c>
    </row>
    <row r="112" spans="1:19" x14ac:dyDescent="0.25">
      <c r="Q112" s="39">
        <v>42531</v>
      </c>
      <c r="R112" s="40">
        <v>49.09</v>
      </c>
      <c r="S112" s="40">
        <v>200</v>
      </c>
    </row>
    <row r="113" spans="17:19" x14ac:dyDescent="0.25">
      <c r="Q113" s="39">
        <v>42534</v>
      </c>
      <c r="R113" s="40">
        <v>48.89</v>
      </c>
      <c r="S113" s="40">
        <v>199</v>
      </c>
    </row>
    <row r="114" spans="17:19" x14ac:dyDescent="0.25">
      <c r="Q114" s="39">
        <v>42535</v>
      </c>
      <c r="R114" s="40">
        <v>48.49</v>
      </c>
      <c r="S114" s="40">
        <v>198</v>
      </c>
    </row>
    <row r="115" spans="17:19" x14ac:dyDescent="0.25">
      <c r="Q115" s="39">
        <v>42536</v>
      </c>
      <c r="R115" s="40">
        <v>47.92</v>
      </c>
      <c r="S115" s="40">
        <v>197</v>
      </c>
    </row>
    <row r="116" spans="17:19" x14ac:dyDescent="0.25">
      <c r="Q116" s="39">
        <v>42537</v>
      </c>
      <c r="R116" s="40">
        <v>46.14</v>
      </c>
      <c r="S116" s="40">
        <v>196</v>
      </c>
    </row>
    <row r="117" spans="17:19" x14ac:dyDescent="0.25">
      <c r="Q117" s="39">
        <v>42538</v>
      </c>
      <c r="R117" s="40">
        <v>48</v>
      </c>
      <c r="S117" s="40">
        <v>195</v>
      </c>
    </row>
    <row r="118" spans="17:19" x14ac:dyDescent="0.25">
      <c r="Q118" s="39">
        <v>42541</v>
      </c>
      <c r="R118" s="40">
        <v>49.4</v>
      </c>
      <c r="S118" s="40">
        <v>194</v>
      </c>
    </row>
    <row r="119" spans="17:19" x14ac:dyDescent="0.25">
      <c r="Q119" s="39">
        <v>42542</v>
      </c>
      <c r="R119" s="40">
        <v>48.95</v>
      </c>
      <c r="S119" s="40">
        <v>193</v>
      </c>
    </row>
    <row r="120" spans="17:19" x14ac:dyDescent="0.25">
      <c r="Q120" s="39">
        <v>42543</v>
      </c>
      <c r="R120" s="40">
        <v>49.16</v>
      </c>
      <c r="S120" s="40">
        <v>192</v>
      </c>
    </row>
    <row r="121" spans="17:19" x14ac:dyDescent="0.25">
      <c r="Q121" s="39">
        <v>42544</v>
      </c>
      <c r="R121" s="40">
        <v>49.34</v>
      </c>
      <c r="S121" s="40">
        <v>191</v>
      </c>
    </row>
    <row r="122" spans="17:19" x14ac:dyDescent="0.25">
      <c r="Q122" s="39">
        <v>42545</v>
      </c>
      <c r="R122" s="40">
        <v>46.7</v>
      </c>
      <c r="S122" s="40">
        <v>190</v>
      </c>
    </row>
    <row r="123" spans="17:19" x14ac:dyDescent="0.25">
      <c r="Q123" s="39">
        <v>42548</v>
      </c>
      <c r="R123" s="40">
        <v>45.8</v>
      </c>
      <c r="S123" s="40">
        <v>189</v>
      </c>
    </row>
    <row r="124" spans="17:19" x14ac:dyDescent="0.25">
      <c r="Q124" s="39">
        <v>42549</v>
      </c>
      <c r="R124" s="40">
        <v>47.93</v>
      </c>
      <c r="S124" s="40">
        <v>188</v>
      </c>
    </row>
    <row r="125" spans="17:19" x14ac:dyDescent="0.25">
      <c r="Q125" s="39">
        <v>42550</v>
      </c>
      <c r="R125" s="40">
        <v>49.85</v>
      </c>
      <c r="S125" s="40">
        <v>187</v>
      </c>
    </row>
    <row r="126" spans="17:19" x14ac:dyDescent="0.25">
      <c r="Q126" s="39">
        <v>42551</v>
      </c>
      <c r="R126" s="40">
        <v>48.27</v>
      </c>
      <c r="S126" s="40">
        <v>186</v>
      </c>
    </row>
    <row r="127" spans="17:19" x14ac:dyDescent="0.25">
      <c r="Q127" s="39">
        <v>42552</v>
      </c>
      <c r="R127" s="40">
        <v>49.02</v>
      </c>
      <c r="S127" s="40">
        <v>185</v>
      </c>
    </row>
    <row r="128" spans="17:19" x14ac:dyDescent="0.25">
      <c r="Q128" s="39">
        <v>42556</v>
      </c>
      <c r="R128" s="40">
        <v>46.73</v>
      </c>
      <c r="S128" s="40">
        <v>184</v>
      </c>
    </row>
    <row r="129" spans="17:19" x14ac:dyDescent="0.25">
      <c r="Q129" s="39">
        <v>42557</v>
      </c>
      <c r="R129" s="40">
        <v>47.37</v>
      </c>
      <c r="S129" s="40">
        <v>183</v>
      </c>
    </row>
    <row r="130" spans="17:19" x14ac:dyDescent="0.25">
      <c r="Q130" s="39">
        <v>42558</v>
      </c>
      <c r="R130" s="40">
        <v>45.22</v>
      </c>
      <c r="S130" s="40">
        <v>182</v>
      </c>
    </row>
    <row r="131" spans="17:19" x14ac:dyDescent="0.25">
      <c r="Q131" s="39">
        <v>42559</v>
      </c>
      <c r="R131" s="40">
        <v>45.37</v>
      </c>
      <c r="S131" s="40">
        <v>181</v>
      </c>
    </row>
    <row r="132" spans="17:19" x14ac:dyDescent="0.25">
      <c r="Q132" s="39">
        <v>42562</v>
      </c>
      <c r="R132" s="40">
        <v>44.73</v>
      </c>
      <c r="S132" s="40">
        <v>180</v>
      </c>
    </row>
    <row r="133" spans="17:19" x14ac:dyDescent="0.25">
      <c r="Q133" s="39">
        <v>42563</v>
      </c>
      <c r="R133" s="40">
        <v>46.82</v>
      </c>
      <c r="S133" s="40">
        <v>179</v>
      </c>
    </row>
    <row r="134" spans="17:19" x14ac:dyDescent="0.25">
      <c r="Q134" s="39">
        <v>42564</v>
      </c>
      <c r="R134" s="40">
        <v>44.87</v>
      </c>
      <c r="S134" s="40">
        <v>178</v>
      </c>
    </row>
    <row r="135" spans="17:19" x14ac:dyDescent="0.25">
      <c r="Q135" s="39">
        <v>42565</v>
      </c>
      <c r="R135" s="40">
        <v>45.64</v>
      </c>
      <c r="S135" s="40">
        <v>177</v>
      </c>
    </row>
    <row r="136" spans="17:19" x14ac:dyDescent="0.25">
      <c r="Q136" s="39">
        <v>42566</v>
      </c>
      <c r="R136" s="40">
        <v>45.93</v>
      </c>
      <c r="S136" s="40">
        <v>176</v>
      </c>
    </row>
    <row r="137" spans="17:19" x14ac:dyDescent="0.25">
      <c r="Q137" s="39">
        <v>42569</v>
      </c>
      <c r="R137" s="40">
        <v>45.23</v>
      </c>
      <c r="S137" s="40">
        <v>175</v>
      </c>
    </row>
    <row r="138" spans="17:19" x14ac:dyDescent="0.25">
      <c r="Q138" s="39">
        <v>42570</v>
      </c>
      <c r="R138" s="40">
        <v>44.64</v>
      </c>
      <c r="S138" s="40">
        <v>174</v>
      </c>
    </row>
    <row r="139" spans="17:19" x14ac:dyDescent="0.25">
      <c r="Q139" s="39">
        <v>42571</v>
      </c>
      <c r="R139" s="40">
        <v>44.96</v>
      </c>
      <c r="S139" s="40">
        <v>173</v>
      </c>
    </row>
    <row r="140" spans="17:19" x14ac:dyDescent="0.25">
      <c r="Q140" s="39">
        <v>42572</v>
      </c>
      <c r="R140" s="40">
        <v>43.96</v>
      </c>
      <c r="S140" s="40">
        <v>172</v>
      </c>
    </row>
    <row r="141" spans="17:19" x14ac:dyDescent="0.25">
      <c r="Q141" s="39">
        <v>42573</v>
      </c>
      <c r="R141" s="40">
        <v>43.41</v>
      </c>
      <c r="S141" s="40">
        <v>171</v>
      </c>
    </row>
    <row r="142" spans="17:19" x14ac:dyDescent="0.25">
      <c r="Q142" s="39">
        <v>42576</v>
      </c>
      <c r="R142" s="40">
        <v>42.4</v>
      </c>
      <c r="S142" s="40">
        <v>170</v>
      </c>
    </row>
    <row r="143" spans="17:19" x14ac:dyDescent="0.25">
      <c r="Q143" s="39">
        <v>42577</v>
      </c>
      <c r="R143" s="40">
        <v>42.16</v>
      </c>
      <c r="S143" s="40">
        <v>169</v>
      </c>
    </row>
    <row r="144" spans="17:19" x14ac:dyDescent="0.25">
      <c r="Q144" s="39">
        <v>42578</v>
      </c>
      <c r="R144" s="40">
        <v>41.9</v>
      </c>
      <c r="S144" s="40">
        <v>168</v>
      </c>
    </row>
    <row r="145" spans="1:19" x14ac:dyDescent="0.25">
      <c r="Q145" s="39">
        <v>42579</v>
      </c>
      <c r="R145" s="40">
        <v>41.13</v>
      </c>
      <c r="S145" s="40">
        <v>167</v>
      </c>
    </row>
    <row r="146" spans="1:19" x14ac:dyDescent="0.25">
      <c r="Q146" s="39">
        <v>42580</v>
      </c>
      <c r="R146" s="40">
        <v>41.54</v>
      </c>
      <c r="S146" s="40">
        <v>166</v>
      </c>
    </row>
    <row r="147" spans="1:19" x14ac:dyDescent="0.25">
      <c r="Q147" s="39">
        <v>42583</v>
      </c>
      <c r="R147" s="40">
        <v>40.049999999999997</v>
      </c>
      <c r="S147" s="40">
        <v>165</v>
      </c>
    </row>
    <row r="148" spans="1:19" x14ac:dyDescent="0.25">
      <c r="Q148" s="39">
        <v>42584</v>
      </c>
      <c r="R148" s="40">
        <v>39.5</v>
      </c>
      <c r="S148" s="40">
        <v>164</v>
      </c>
    </row>
    <row r="149" spans="1:19" x14ac:dyDescent="0.25">
      <c r="Q149" s="39">
        <v>42585</v>
      </c>
      <c r="R149" s="40">
        <v>40.799999999999997</v>
      </c>
      <c r="S149" s="40">
        <v>163</v>
      </c>
    </row>
    <row r="150" spans="1:19" x14ac:dyDescent="0.25">
      <c r="Q150" s="39">
        <v>42586</v>
      </c>
      <c r="R150" s="40">
        <v>41.92</v>
      </c>
      <c r="S150" s="40">
        <v>162</v>
      </c>
    </row>
    <row r="151" spans="1:19" x14ac:dyDescent="0.25">
      <c r="Q151" s="39">
        <v>42587</v>
      </c>
      <c r="R151" s="40">
        <v>41.83</v>
      </c>
      <c r="S151" s="40">
        <v>161</v>
      </c>
    </row>
    <row r="152" spans="1:19" x14ac:dyDescent="0.25">
      <c r="Q152" s="39">
        <v>42590</v>
      </c>
      <c r="R152" s="40">
        <v>43.06</v>
      </c>
      <c r="S152" s="40">
        <v>160</v>
      </c>
    </row>
    <row r="153" spans="1:19" x14ac:dyDescent="0.25">
      <c r="Q153" s="39">
        <v>42591</v>
      </c>
      <c r="R153" s="40">
        <v>42.78</v>
      </c>
      <c r="S153" s="40">
        <v>159</v>
      </c>
    </row>
    <row r="154" spans="1:19" x14ac:dyDescent="0.25">
      <c r="Q154" s="39">
        <v>42592</v>
      </c>
      <c r="R154" s="40">
        <v>41.75</v>
      </c>
      <c r="S154" s="40">
        <v>158</v>
      </c>
    </row>
    <row r="155" spans="1:19" x14ac:dyDescent="0.25">
      <c r="Q155" s="39">
        <v>42593</v>
      </c>
      <c r="R155" s="40">
        <v>43.51</v>
      </c>
      <c r="S155" s="40">
        <v>157</v>
      </c>
    </row>
    <row r="156" spans="1:19" x14ac:dyDescent="0.25">
      <c r="Q156" s="39">
        <v>42594</v>
      </c>
      <c r="R156" s="40">
        <v>44.47</v>
      </c>
      <c r="S156" s="40">
        <v>156</v>
      </c>
    </row>
    <row r="157" spans="1:19" x14ac:dyDescent="0.25">
      <c r="Q157" s="39">
        <v>42597</v>
      </c>
      <c r="R157" s="40">
        <v>45.72</v>
      </c>
      <c r="S157" s="40">
        <v>155</v>
      </c>
    </row>
    <row r="158" spans="1:19" x14ac:dyDescent="0.25">
      <c r="A158" s="72" t="s">
        <v>60</v>
      </c>
      <c r="B158" s="72"/>
      <c r="C158" s="72"/>
      <c r="D158" s="72"/>
      <c r="E158" s="72"/>
      <c r="F158" s="72"/>
      <c r="G158" s="72"/>
      <c r="H158" s="72"/>
      <c r="Q158" s="39">
        <v>42598</v>
      </c>
      <c r="R158" s="40">
        <v>46.57</v>
      </c>
      <c r="S158" s="40">
        <v>154</v>
      </c>
    </row>
    <row r="159" spans="1:19" x14ac:dyDescent="0.25">
      <c r="Q159" s="39">
        <v>42599</v>
      </c>
      <c r="R159" s="40">
        <v>46.81</v>
      </c>
      <c r="S159" s="40">
        <v>153</v>
      </c>
    </row>
    <row r="160" spans="1:19" x14ac:dyDescent="0.25">
      <c r="Q160" s="39">
        <v>42600</v>
      </c>
      <c r="R160" s="40">
        <v>48.2</v>
      </c>
      <c r="S160" s="40">
        <v>152</v>
      </c>
    </row>
    <row r="161" spans="17:19" x14ac:dyDescent="0.25">
      <c r="Q161" s="39">
        <v>42601</v>
      </c>
      <c r="R161" s="40">
        <v>48.48</v>
      </c>
      <c r="S161" s="40">
        <v>151</v>
      </c>
    </row>
    <row r="162" spans="17:19" x14ac:dyDescent="0.25">
      <c r="Q162" s="39">
        <v>42604</v>
      </c>
      <c r="R162" s="40">
        <v>46.8</v>
      </c>
      <c r="S162" s="40">
        <v>150</v>
      </c>
    </row>
    <row r="163" spans="17:19" x14ac:dyDescent="0.25">
      <c r="Q163" s="39">
        <v>42605</v>
      </c>
      <c r="R163" s="40">
        <v>47.54</v>
      </c>
      <c r="S163" s="40">
        <v>149</v>
      </c>
    </row>
    <row r="164" spans="17:19" x14ac:dyDescent="0.25">
      <c r="Q164" s="39">
        <v>42606</v>
      </c>
      <c r="R164" s="40">
        <v>46.29</v>
      </c>
      <c r="S164" s="40">
        <v>148</v>
      </c>
    </row>
    <row r="165" spans="17:19" x14ac:dyDescent="0.25">
      <c r="Q165" s="39">
        <v>42607</v>
      </c>
      <c r="R165" s="40">
        <v>46.97</v>
      </c>
      <c r="S165" s="40">
        <v>147</v>
      </c>
    </row>
    <row r="166" spans="17:19" x14ac:dyDescent="0.25">
      <c r="Q166" s="39">
        <v>42608</v>
      </c>
      <c r="R166" s="40">
        <v>47.64</v>
      </c>
      <c r="S166" s="40">
        <v>146</v>
      </c>
    </row>
    <row r="167" spans="17:19" x14ac:dyDescent="0.25">
      <c r="Q167" s="39">
        <v>42611</v>
      </c>
      <c r="R167" s="40">
        <v>46.97</v>
      </c>
      <c r="S167" s="40">
        <v>145</v>
      </c>
    </row>
    <row r="168" spans="17:19" x14ac:dyDescent="0.25">
      <c r="Q168" s="39">
        <v>42612</v>
      </c>
      <c r="R168" s="40">
        <v>46.32</v>
      </c>
      <c r="S168" s="40">
        <v>144</v>
      </c>
    </row>
    <row r="169" spans="17:19" x14ac:dyDescent="0.25">
      <c r="Q169" s="39">
        <v>42613</v>
      </c>
      <c r="R169" s="40">
        <v>44.68</v>
      </c>
      <c r="S169" s="40">
        <v>143</v>
      </c>
    </row>
    <row r="170" spans="17:19" x14ac:dyDescent="0.25">
      <c r="Q170" s="39">
        <v>42614</v>
      </c>
      <c r="R170" s="40">
        <v>43.17</v>
      </c>
      <c r="S170" s="40">
        <v>142</v>
      </c>
    </row>
    <row r="171" spans="17:19" x14ac:dyDescent="0.25">
      <c r="Q171" s="39">
        <v>42615</v>
      </c>
      <c r="R171" s="40">
        <v>44.39</v>
      </c>
      <c r="S171" s="40">
        <v>141</v>
      </c>
    </row>
    <row r="172" spans="17:19" x14ac:dyDescent="0.25">
      <c r="Q172" s="39">
        <v>42619</v>
      </c>
      <c r="R172" s="40">
        <v>44.85</v>
      </c>
      <c r="S172" s="40">
        <v>140</v>
      </c>
    </row>
    <row r="173" spans="17:19" x14ac:dyDescent="0.25">
      <c r="Q173" s="39">
        <v>42620</v>
      </c>
      <c r="R173" s="40">
        <v>45.47</v>
      </c>
      <c r="S173" s="40">
        <v>139</v>
      </c>
    </row>
    <row r="174" spans="17:19" x14ac:dyDescent="0.25">
      <c r="Q174" s="39">
        <v>42621</v>
      </c>
      <c r="R174" s="40">
        <v>47.63</v>
      </c>
      <c r="S174" s="40">
        <v>138</v>
      </c>
    </row>
    <row r="175" spans="17:19" x14ac:dyDescent="0.25">
      <c r="Q175" s="39">
        <v>42622</v>
      </c>
      <c r="R175" s="40">
        <v>45.88</v>
      </c>
      <c r="S175" s="40">
        <v>137</v>
      </c>
    </row>
    <row r="176" spans="17:19" x14ac:dyDescent="0.25">
      <c r="Q176" s="39">
        <v>42625</v>
      </c>
      <c r="R176" s="40">
        <v>46.28</v>
      </c>
      <c r="S176" s="40">
        <v>136</v>
      </c>
    </row>
    <row r="177" spans="17:19" x14ac:dyDescent="0.25">
      <c r="Q177" s="39">
        <v>42626</v>
      </c>
      <c r="R177" s="40">
        <v>44.91</v>
      </c>
      <c r="S177" s="40">
        <v>135</v>
      </c>
    </row>
    <row r="178" spans="17:19" x14ac:dyDescent="0.25">
      <c r="Q178" s="39">
        <v>42627</v>
      </c>
      <c r="R178" s="40">
        <v>43.62</v>
      </c>
      <c r="S178" s="40">
        <v>134</v>
      </c>
    </row>
    <row r="179" spans="17:19" x14ac:dyDescent="0.25">
      <c r="Q179" s="39">
        <v>42628</v>
      </c>
      <c r="R179" s="40">
        <v>43.85</v>
      </c>
      <c r="S179" s="40">
        <v>133</v>
      </c>
    </row>
    <row r="180" spans="17:19" x14ac:dyDescent="0.25">
      <c r="Q180" s="39">
        <v>42629</v>
      </c>
      <c r="R180" s="40">
        <v>43.04</v>
      </c>
      <c r="S180" s="40">
        <v>132</v>
      </c>
    </row>
    <row r="181" spans="17:19" x14ac:dyDescent="0.25">
      <c r="Q181" s="39">
        <v>42632</v>
      </c>
      <c r="R181" s="40">
        <v>43.34</v>
      </c>
      <c r="S181" s="40">
        <v>131</v>
      </c>
    </row>
    <row r="182" spans="17:19" x14ac:dyDescent="0.25">
      <c r="Q182" s="39">
        <v>42633</v>
      </c>
      <c r="R182" s="40">
        <v>43.85</v>
      </c>
      <c r="S182" s="40">
        <v>130</v>
      </c>
    </row>
    <row r="183" spans="17:19" x14ac:dyDescent="0.25">
      <c r="Q183" s="39">
        <v>42634</v>
      </c>
      <c r="R183" s="40">
        <v>45.33</v>
      </c>
      <c r="S183" s="40">
        <v>129</v>
      </c>
    </row>
    <row r="184" spans="17:19" x14ac:dyDescent="0.25">
      <c r="Q184" s="39">
        <v>42635</v>
      </c>
      <c r="R184" s="40">
        <v>46.1</v>
      </c>
      <c r="S184" s="40">
        <v>128</v>
      </c>
    </row>
    <row r="185" spans="17:19" x14ac:dyDescent="0.25">
      <c r="Q185" s="39">
        <v>42636</v>
      </c>
      <c r="R185" s="40">
        <v>44.36</v>
      </c>
      <c r="S185" s="40">
        <v>127</v>
      </c>
    </row>
    <row r="186" spans="17:19" x14ac:dyDescent="0.25">
      <c r="Q186" s="39">
        <v>42639</v>
      </c>
      <c r="R186" s="40">
        <v>45.6</v>
      </c>
      <c r="S186" s="40">
        <v>126</v>
      </c>
    </row>
    <row r="187" spans="17:19" x14ac:dyDescent="0.25">
      <c r="Q187" s="39">
        <v>42640</v>
      </c>
      <c r="R187" s="40">
        <v>44.65</v>
      </c>
      <c r="S187" s="40">
        <v>125</v>
      </c>
    </row>
    <row r="188" spans="17:19" x14ac:dyDescent="0.25">
      <c r="Q188" s="39">
        <v>42641</v>
      </c>
      <c r="R188" s="40">
        <v>47.07</v>
      </c>
      <c r="S188" s="40">
        <v>124</v>
      </c>
    </row>
    <row r="189" spans="17:19" x14ac:dyDescent="0.25">
      <c r="Q189" s="39">
        <v>42642</v>
      </c>
      <c r="R189" s="40">
        <v>47.72</v>
      </c>
      <c r="S189" s="40">
        <v>123</v>
      </c>
    </row>
    <row r="190" spans="17:19" x14ac:dyDescent="0.25">
      <c r="Q190" s="39">
        <v>42643</v>
      </c>
      <c r="R190" s="40">
        <v>47.72</v>
      </c>
      <c r="S190" s="40">
        <v>122</v>
      </c>
    </row>
    <row r="191" spans="17:19" x14ac:dyDescent="0.25">
      <c r="Q191" s="39">
        <v>42646</v>
      </c>
      <c r="R191" s="40">
        <v>48.8</v>
      </c>
      <c r="S191" s="40">
        <v>121</v>
      </c>
    </row>
    <row r="192" spans="17:19" x14ac:dyDescent="0.25">
      <c r="Q192" s="39">
        <v>42647</v>
      </c>
      <c r="R192" s="40">
        <v>48.67</v>
      </c>
      <c r="S192" s="40">
        <v>120</v>
      </c>
    </row>
    <row r="193" spans="1:19" x14ac:dyDescent="0.25">
      <c r="Q193" s="39">
        <v>42648</v>
      </c>
      <c r="R193" s="40">
        <v>49.75</v>
      </c>
      <c r="S193" s="40">
        <v>119</v>
      </c>
    </row>
    <row r="194" spans="1:19" x14ac:dyDescent="0.25">
      <c r="Q194" s="39">
        <v>42649</v>
      </c>
      <c r="R194" s="40">
        <v>50.44</v>
      </c>
      <c r="S194" s="40">
        <v>118</v>
      </c>
    </row>
    <row r="195" spans="1:19" x14ac:dyDescent="0.25">
      <c r="Q195" s="39">
        <v>42650</v>
      </c>
      <c r="R195" s="40">
        <v>49.76</v>
      </c>
      <c r="S195" s="40">
        <v>117</v>
      </c>
    </row>
    <row r="196" spans="1:19" x14ac:dyDescent="0.25">
      <c r="Q196" s="39">
        <v>42653</v>
      </c>
      <c r="R196" s="40">
        <v>49.76</v>
      </c>
      <c r="S196" s="40">
        <v>116</v>
      </c>
    </row>
    <row r="197" spans="1:19" x14ac:dyDescent="0.25">
      <c r="Q197" s="39">
        <v>42654</v>
      </c>
      <c r="R197" s="40">
        <v>50.72</v>
      </c>
      <c r="S197" s="40">
        <v>115</v>
      </c>
    </row>
    <row r="198" spans="1:19" x14ac:dyDescent="0.25">
      <c r="Q198" s="39">
        <v>42655</v>
      </c>
      <c r="R198" s="40">
        <v>50.14</v>
      </c>
      <c r="S198" s="40">
        <v>114</v>
      </c>
    </row>
    <row r="199" spans="1:19" x14ac:dyDescent="0.25">
      <c r="A199" s="72" t="s">
        <v>62</v>
      </c>
      <c r="B199" s="72"/>
      <c r="C199" s="72"/>
      <c r="D199" s="72"/>
      <c r="E199" s="72"/>
      <c r="F199" s="72"/>
      <c r="G199" s="72"/>
      <c r="Q199" s="39">
        <v>42656</v>
      </c>
      <c r="R199" s="40">
        <v>50.47</v>
      </c>
      <c r="S199" s="40">
        <v>113</v>
      </c>
    </row>
    <row r="200" spans="1:19" x14ac:dyDescent="0.25">
      <c r="Q200" s="39">
        <v>42657</v>
      </c>
      <c r="R200" s="40">
        <v>50.35</v>
      </c>
      <c r="S200" s="40">
        <v>112</v>
      </c>
    </row>
    <row r="201" spans="1:19" x14ac:dyDescent="0.25">
      <c r="Q201" s="39">
        <v>42660</v>
      </c>
      <c r="R201" s="40">
        <v>49.97</v>
      </c>
      <c r="S201" s="40">
        <v>111</v>
      </c>
    </row>
    <row r="202" spans="1:19" x14ac:dyDescent="0.25">
      <c r="Q202" s="39">
        <v>42661</v>
      </c>
      <c r="R202" s="40">
        <v>50.3</v>
      </c>
      <c r="S202" s="40">
        <v>110</v>
      </c>
    </row>
    <row r="203" spans="1:19" x14ac:dyDescent="0.25">
      <c r="Q203" s="39">
        <v>42662</v>
      </c>
      <c r="R203" s="40">
        <v>51.59</v>
      </c>
      <c r="S203" s="40">
        <v>109</v>
      </c>
    </row>
    <row r="204" spans="1:19" x14ac:dyDescent="0.25">
      <c r="Q204" s="39">
        <v>42663</v>
      </c>
      <c r="R204" s="40">
        <v>50.31</v>
      </c>
      <c r="S204" s="40">
        <v>108</v>
      </c>
    </row>
    <row r="205" spans="1:19" x14ac:dyDescent="0.25">
      <c r="Q205" s="39">
        <v>42664</v>
      </c>
      <c r="R205" s="40">
        <v>50.61</v>
      </c>
      <c r="S205" s="40">
        <v>107</v>
      </c>
    </row>
    <row r="206" spans="1:19" x14ac:dyDescent="0.25">
      <c r="Q206" s="39">
        <v>42667</v>
      </c>
      <c r="R206" s="40">
        <v>50.18</v>
      </c>
      <c r="S206" s="40">
        <v>106</v>
      </c>
    </row>
    <row r="207" spans="1:19" x14ac:dyDescent="0.25">
      <c r="Q207" s="39">
        <v>42668</v>
      </c>
      <c r="R207" s="40">
        <v>49.45</v>
      </c>
      <c r="S207" s="40">
        <v>105</v>
      </c>
    </row>
    <row r="208" spans="1:19" x14ac:dyDescent="0.25">
      <c r="Q208" s="39">
        <v>42669</v>
      </c>
      <c r="R208" s="40">
        <v>48.75</v>
      </c>
      <c r="S208" s="40">
        <v>104</v>
      </c>
    </row>
    <row r="209" spans="1:19" x14ac:dyDescent="0.25">
      <c r="Q209" s="39">
        <v>42670</v>
      </c>
      <c r="R209" s="40">
        <v>49.71</v>
      </c>
      <c r="S209" s="40">
        <v>103</v>
      </c>
    </row>
    <row r="210" spans="1:19" x14ac:dyDescent="0.25">
      <c r="Q210" s="39">
        <v>42671</v>
      </c>
      <c r="R210" s="40">
        <v>48.72</v>
      </c>
      <c r="S210" s="40">
        <v>102</v>
      </c>
    </row>
    <row r="211" spans="1:19" x14ac:dyDescent="0.25">
      <c r="Q211" s="39">
        <v>42674</v>
      </c>
      <c r="R211" s="40">
        <v>46.83</v>
      </c>
      <c r="S211" s="40">
        <v>101</v>
      </c>
    </row>
    <row r="212" spans="1:19" x14ac:dyDescent="0.25">
      <c r="Q212" s="39">
        <v>42675</v>
      </c>
      <c r="R212" s="40">
        <v>46.66</v>
      </c>
      <c r="S212" s="40">
        <v>100</v>
      </c>
    </row>
    <row r="213" spans="1:19" x14ac:dyDescent="0.25">
      <c r="Q213" s="39">
        <v>42676</v>
      </c>
      <c r="R213" s="40">
        <v>45.32</v>
      </c>
      <c r="S213" s="40">
        <v>99</v>
      </c>
    </row>
    <row r="214" spans="1:19" x14ac:dyDescent="0.25">
      <c r="Q214" s="39">
        <v>42677</v>
      </c>
      <c r="R214" s="40">
        <v>44.66</v>
      </c>
      <c r="S214" s="40">
        <v>98</v>
      </c>
    </row>
    <row r="215" spans="1:19" x14ac:dyDescent="0.25">
      <c r="Q215" s="39">
        <v>42678</v>
      </c>
      <c r="R215" s="40">
        <v>44.07</v>
      </c>
      <c r="S215" s="40">
        <v>97</v>
      </c>
    </row>
    <row r="216" spans="1:19" x14ac:dyDescent="0.25">
      <c r="A216" s="72" t="s">
        <v>63</v>
      </c>
      <c r="B216" s="72"/>
      <c r="C216" s="72"/>
      <c r="D216" s="72"/>
      <c r="E216" s="72"/>
      <c r="F216" s="72"/>
      <c r="G216" s="72"/>
      <c r="Q216" s="39">
        <v>42681</v>
      </c>
      <c r="R216" s="40">
        <v>44.88</v>
      </c>
      <c r="S216" s="40">
        <v>96</v>
      </c>
    </row>
    <row r="217" spans="1:19" x14ac:dyDescent="0.25">
      <c r="Q217" s="39">
        <v>42682</v>
      </c>
      <c r="R217" s="40">
        <v>44.96</v>
      </c>
      <c r="S217" s="40">
        <v>95</v>
      </c>
    </row>
    <row r="218" spans="1:19" x14ac:dyDescent="0.25">
      <c r="Q218" s="39">
        <v>42683</v>
      </c>
      <c r="R218" s="40">
        <v>45.2</v>
      </c>
      <c r="S218" s="40">
        <v>94</v>
      </c>
    </row>
    <row r="219" spans="1:19" x14ac:dyDescent="0.25">
      <c r="Q219" s="39">
        <v>42684</v>
      </c>
      <c r="R219" s="40">
        <v>44.62</v>
      </c>
      <c r="S219" s="40">
        <v>93</v>
      </c>
    </row>
    <row r="220" spans="1:19" x14ac:dyDescent="0.25">
      <c r="Q220" s="39">
        <v>42685</v>
      </c>
      <c r="R220" s="40">
        <v>43.39</v>
      </c>
      <c r="S220" s="40">
        <v>92</v>
      </c>
    </row>
    <row r="221" spans="1:19" x14ac:dyDescent="0.25">
      <c r="Q221" s="39">
        <v>42688</v>
      </c>
      <c r="R221" s="40">
        <v>43.29</v>
      </c>
      <c r="S221" s="40">
        <v>91</v>
      </c>
    </row>
    <row r="222" spans="1:19" x14ac:dyDescent="0.25">
      <c r="Q222" s="39">
        <v>42689</v>
      </c>
      <c r="R222" s="40">
        <v>45.86</v>
      </c>
      <c r="S222" s="40">
        <v>90</v>
      </c>
    </row>
    <row r="223" spans="1:19" x14ac:dyDescent="0.25">
      <c r="Q223" s="39">
        <v>42690</v>
      </c>
      <c r="R223" s="40">
        <v>45.56</v>
      </c>
      <c r="S223" s="40">
        <v>89</v>
      </c>
    </row>
    <row r="224" spans="1:19" x14ac:dyDescent="0.25">
      <c r="Q224" s="39">
        <v>42691</v>
      </c>
      <c r="R224" s="40">
        <v>45.37</v>
      </c>
      <c r="S224" s="40">
        <v>88</v>
      </c>
    </row>
    <row r="225" spans="9:19" x14ac:dyDescent="0.25">
      <c r="Q225" s="39">
        <v>42692</v>
      </c>
      <c r="R225" s="40">
        <v>45.69</v>
      </c>
      <c r="S225" s="40">
        <v>87</v>
      </c>
    </row>
    <row r="226" spans="9:19" x14ac:dyDescent="0.25">
      <c r="Q226" s="39">
        <v>42695</v>
      </c>
      <c r="R226" s="40">
        <v>47.48</v>
      </c>
      <c r="S226" s="40">
        <v>86</v>
      </c>
    </row>
    <row r="227" spans="9:19" x14ac:dyDescent="0.25">
      <c r="Q227" s="39">
        <v>42696</v>
      </c>
      <c r="R227" s="40">
        <v>48.07</v>
      </c>
      <c r="S227" s="40">
        <v>85</v>
      </c>
    </row>
    <row r="228" spans="9:19" x14ac:dyDescent="0.25">
      <c r="Q228" s="39">
        <v>42697</v>
      </c>
      <c r="R228" s="40">
        <v>46.72</v>
      </c>
      <c r="S228" s="40">
        <v>84</v>
      </c>
    </row>
    <row r="229" spans="9:19" x14ac:dyDescent="0.25">
      <c r="Q229" s="39">
        <v>42699</v>
      </c>
      <c r="R229" s="40">
        <v>46.72</v>
      </c>
      <c r="S229" s="40">
        <v>83</v>
      </c>
    </row>
    <row r="230" spans="9:19" x14ac:dyDescent="0.25">
      <c r="Q230" s="39">
        <v>42702</v>
      </c>
      <c r="R230" s="40">
        <v>45.66</v>
      </c>
      <c r="S230" s="40">
        <v>82</v>
      </c>
    </row>
    <row r="231" spans="9:19" x14ac:dyDescent="0.25">
      <c r="Q231" s="39">
        <v>42703</v>
      </c>
      <c r="R231" s="40">
        <v>45.29</v>
      </c>
      <c r="S231" s="40">
        <v>81</v>
      </c>
    </row>
    <row r="232" spans="9:19" x14ac:dyDescent="0.25">
      <c r="Q232" s="39">
        <v>42704</v>
      </c>
      <c r="R232" s="40">
        <v>49.41</v>
      </c>
      <c r="S232" s="40">
        <v>80</v>
      </c>
    </row>
    <row r="233" spans="9:19" x14ac:dyDescent="0.25">
      <c r="Q233" s="39">
        <v>42705</v>
      </c>
      <c r="R233" s="40">
        <v>51.08</v>
      </c>
      <c r="S233" s="40">
        <v>79</v>
      </c>
    </row>
    <row r="234" spans="9:19" x14ac:dyDescent="0.25">
      <c r="Q234" s="39">
        <v>42706</v>
      </c>
      <c r="R234" s="40">
        <v>51.7</v>
      </c>
      <c r="S234" s="40">
        <v>78</v>
      </c>
    </row>
    <row r="235" spans="9:19" x14ac:dyDescent="0.25">
      <c r="Q235" s="39">
        <v>42709</v>
      </c>
      <c r="R235" s="40">
        <v>51.72</v>
      </c>
      <c r="S235" s="40">
        <v>77</v>
      </c>
    </row>
    <row r="236" spans="9:19" x14ac:dyDescent="0.25">
      <c r="Q236" s="39">
        <v>42710</v>
      </c>
      <c r="R236" s="40">
        <v>50.95</v>
      </c>
      <c r="S236" s="40">
        <v>76</v>
      </c>
    </row>
    <row r="237" spans="9:19" x14ac:dyDescent="0.25">
      <c r="Q237" s="39">
        <v>42711</v>
      </c>
      <c r="R237" s="40">
        <v>49.85</v>
      </c>
      <c r="S237" s="40">
        <v>75</v>
      </c>
    </row>
    <row r="238" spans="9:19" x14ac:dyDescent="0.25">
      <c r="I238" s="52" t="s">
        <v>82</v>
      </c>
      <c r="J238" s="52"/>
      <c r="Q238" s="39">
        <v>42712</v>
      </c>
      <c r="R238" s="40">
        <v>50.84</v>
      </c>
      <c r="S238" s="40">
        <v>74</v>
      </c>
    </row>
    <row r="239" spans="9:19" x14ac:dyDescent="0.25">
      <c r="Q239" s="39">
        <v>42713</v>
      </c>
      <c r="R239" s="40">
        <v>51.51</v>
      </c>
      <c r="S239" s="40">
        <v>73</v>
      </c>
    </row>
    <row r="240" spans="9:19" x14ac:dyDescent="0.25">
      <c r="I240" s="22" t="s">
        <v>83</v>
      </c>
      <c r="J240" s="22" t="s">
        <v>84</v>
      </c>
      <c r="K240" s="22" t="s">
        <v>90</v>
      </c>
      <c r="L240" s="22" t="s">
        <v>16</v>
      </c>
      <c r="M240" s="51" t="s">
        <v>91</v>
      </c>
      <c r="Q240" s="39">
        <v>42716</v>
      </c>
      <c r="R240" s="40">
        <v>52.74</v>
      </c>
      <c r="S240" s="40">
        <v>72</v>
      </c>
    </row>
    <row r="241" spans="9:19" x14ac:dyDescent="0.25">
      <c r="I241" s="22">
        <f xml:space="preserve"> 0.0645*315 + 34.853</f>
        <v>55.170500000000004</v>
      </c>
      <c r="J241" s="49">
        <v>50.25</v>
      </c>
      <c r="K241" s="22" t="s">
        <v>89</v>
      </c>
      <c r="L241" s="50">
        <v>42828</v>
      </c>
      <c r="M241" s="51">
        <f>ABS((I241-J241)/I241)</f>
        <v>8.9187156179480045E-2</v>
      </c>
      <c r="Q241" s="39">
        <v>42717</v>
      </c>
      <c r="R241" s="40">
        <v>52.99</v>
      </c>
      <c r="S241" s="40">
        <v>71</v>
      </c>
    </row>
    <row r="242" spans="9:19" x14ac:dyDescent="0.25">
      <c r="I242" s="22">
        <f xml:space="preserve"> 0.0645*314 + 34.853</f>
        <v>55.106000000000002</v>
      </c>
      <c r="J242" s="49">
        <v>50.54</v>
      </c>
      <c r="K242" s="22" t="s">
        <v>88</v>
      </c>
      <c r="L242" s="50">
        <v>42825</v>
      </c>
      <c r="M242" s="51">
        <f t="shared" ref="M242:M245" si="0">ABS((I242-J242)/I242)</f>
        <v>8.2858490908431073E-2</v>
      </c>
      <c r="Q242" s="39">
        <v>42718</v>
      </c>
      <c r="R242" s="40">
        <v>51.01</v>
      </c>
      <c r="S242" s="40">
        <v>70</v>
      </c>
    </row>
    <row r="243" spans="9:19" x14ac:dyDescent="0.25">
      <c r="I243" s="22">
        <f xml:space="preserve"> 0.0645*313 + 34.853</f>
        <v>55.041499999999999</v>
      </c>
      <c r="J243" s="49">
        <v>50.3</v>
      </c>
      <c r="K243" s="22" t="s">
        <v>87</v>
      </c>
      <c r="L243" s="50">
        <v>42824</v>
      </c>
      <c r="M243" s="51">
        <f t="shared" si="0"/>
        <v>8.6144091276582249E-2</v>
      </c>
      <c r="Q243" s="39">
        <v>42719</v>
      </c>
      <c r="R243" s="40">
        <v>50.9</v>
      </c>
      <c r="S243" s="40">
        <v>69</v>
      </c>
    </row>
    <row r="244" spans="9:19" x14ac:dyDescent="0.25">
      <c r="I244" s="22">
        <f xml:space="preserve"> 0.0645*312 + 34.853</f>
        <v>54.977000000000004</v>
      </c>
      <c r="J244" s="49">
        <v>49.47</v>
      </c>
      <c r="K244" s="22" t="s">
        <v>86</v>
      </c>
      <c r="L244" s="50">
        <v>42823</v>
      </c>
      <c r="M244" s="51">
        <f t="shared" si="0"/>
        <v>0.10016916164941711</v>
      </c>
      <c r="Q244" s="39">
        <v>42720</v>
      </c>
      <c r="R244" s="40">
        <v>51.93</v>
      </c>
      <c r="S244" s="40">
        <v>68</v>
      </c>
    </row>
    <row r="245" spans="9:19" x14ac:dyDescent="0.25">
      <c r="I245" s="22">
        <f xml:space="preserve"> 0.0645*311 + 34.853</f>
        <v>54.912500000000001</v>
      </c>
      <c r="J245" s="49">
        <v>48.36</v>
      </c>
      <c r="K245" s="22" t="s">
        <v>85</v>
      </c>
      <c r="L245" s="50">
        <v>42822</v>
      </c>
      <c r="M245" s="51">
        <f t="shared" si="0"/>
        <v>0.1193262007739586</v>
      </c>
      <c r="Q245" s="39">
        <v>42723</v>
      </c>
      <c r="R245" s="40">
        <v>52.13</v>
      </c>
      <c r="S245" s="40">
        <v>67</v>
      </c>
    </row>
    <row r="246" spans="9:19" x14ac:dyDescent="0.25">
      <c r="Q246" s="39">
        <v>42724</v>
      </c>
      <c r="R246" s="40">
        <v>52.22</v>
      </c>
      <c r="S246" s="40">
        <v>66</v>
      </c>
    </row>
    <row r="247" spans="9:19" x14ac:dyDescent="0.25">
      <c r="Q247" s="39">
        <v>42725</v>
      </c>
      <c r="R247" s="40">
        <v>51.44</v>
      </c>
      <c r="S247" s="40">
        <v>65</v>
      </c>
    </row>
    <row r="248" spans="9:19" x14ac:dyDescent="0.25">
      <c r="Q248" s="39">
        <v>42726</v>
      </c>
      <c r="R248" s="40">
        <v>51.98</v>
      </c>
      <c r="S248" s="40">
        <v>64</v>
      </c>
    </row>
    <row r="249" spans="9:19" x14ac:dyDescent="0.25">
      <c r="Q249" s="39">
        <v>42727</v>
      </c>
      <c r="R249" s="40">
        <v>52.01</v>
      </c>
      <c r="S249" s="40">
        <v>63</v>
      </c>
    </row>
    <row r="250" spans="9:19" x14ac:dyDescent="0.25">
      <c r="Q250" s="39">
        <v>42731</v>
      </c>
      <c r="R250" s="40">
        <v>52.82</v>
      </c>
      <c r="S250" s="40">
        <v>62</v>
      </c>
    </row>
    <row r="251" spans="9:19" x14ac:dyDescent="0.25">
      <c r="Q251" s="39">
        <v>42732</v>
      </c>
      <c r="R251" s="40">
        <v>54.01</v>
      </c>
      <c r="S251" s="40">
        <v>61</v>
      </c>
    </row>
    <row r="252" spans="9:19" x14ac:dyDescent="0.25">
      <c r="Q252" s="39">
        <v>42733</v>
      </c>
      <c r="R252" s="40">
        <v>53.8</v>
      </c>
      <c r="S252" s="40">
        <v>60</v>
      </c>
    </row>
    <row r="253" spans="9:19" x14ac:dyDescent="0.25">
      <c r="Q253" s="39">
        <v>42734</v>
      </c>
      <c r="R253" s="40">
        <v>53.75</v>
      </c>
      <c r="S253" s="40">
        <v>59</v>
      </c>
    </row>
    <row r="254" spans="9:19" x14ac:dyDescent="0.25">
      <c r="Q254" s="39">
        <v>42738</v>
      </c>
      <c r="R254" s="40">
        <v>52.36</v>
      </c>
      <c r="S254" s="40">
        <v>58</v>
      </c>
    </row>
    <row r="255" spans="9:19" x14ac:dyDescent="0.25">
      <c r="Q255" s="39">
        <v>42739</v>
      </c>
      <c r="R255" s="40">
        <v>53.26</v>
      </c>
      <c r="S255" s="40">
        <v>57</v>
      </c>
    </row>
    <row r="256" spans="9:19" x14ac:dyDescent="0.25">
      <c r="Q256" s="39">
        <v>42740</v>
      </c>
      <c r="R256" s="40">
        <v>53.77</v>
      </c>
      <c r="S256" s="40">
        <v>56</v>
      </c>
    </row>
    <row r="257" spans="17:19" x14ac:dyDescent="0.25">
      <c r="Q257" s="39">
        <v>42741</v>
      </c>
      <c r="R257" s="40">
        <v>53.98</v>
      </c>
      <c r="S257" s="40">
        <v>55</v>
      </c>
    </row>
    <row r="258" spans="17:19" x14ac:dyDescent="0.25">
      <c r="Q258" s="39">
        <v>42744</v>
      </c>
      <c r="R258" s="40">
        <v>51.95</v>
      </c>
      <c r="S258" s="40">
        <v>54</v>
      </c>
    </row>
    <row r="259" spans="17:19" x14ac:dyDescent="0.25">
      <c r="Q259" s="39">
        <v>42745</v>
      </c>
      <c r="R259" s="40">
        <v>50.82</v>
      </c>
      <c r="S259" s="40">
        <v>53</v>
      </c>
    </row>
    <row r="260" spans="17:19" x14ac:dyDescent="0.25">
      <c r="Q260" s="39">
        <v>42746</v>
      </c>
      <c r="R260" s="40">
        <v>52.19</v>
      </c>
      <c r="S260" s="40">
        <v>52</v>
      </c>
    </row>
    <row r="261" spans="17:19" x14ac:dyDescent="0.25">
      <c r="Q261" s="39">
        <v>42747</v>
      </c>
      <c r="R261" s="40">
        <v>53.01</v>
      </c>
      <c r="S261" s="40">
        <v>51</v>
      </c>
    </row>
    <row r="262" spans="17:19" x14ac:dyDescent="0.25">
      <c r="Q262" s="39">
        <v>42748</v>
      </c>
      <c r="R262" s="40">
        <v>52.36</v>
      </c>
      <c r="S262" s="40">
        <v>50</v>
      </c>
    </row>
    <row r="263" spans="17:19" x14ac:dyDescent="0.25">
      <c r="Q263" s="39">
        <v>42752</v>
      </c>
      <c r="R263" s="40">
        <v>52.45</v>
      </c>
      <c r="S263" s="40">
        <v>49</v>
      </c>
    </row>
    <row r="264" spans="17:19" x14ac:dyDescent="0.25">
      <c r="Q264" s="39">
        <v>42753</v>
      </c>
      <c r="R264" s="40">
        <v>51.12</v>
      </c>
      <c r="S264" s="40">
        <v>48</v>
      </c>
    </row>
    <row r="265" spans="17:19" x14ac:dyDescent="0.25">
      <c r="Q265" s="39">
        <v>42754</v>
      </c>
      <c r="R265" s="40">
        <v>51.39</v>
      </c>
      <c r="S265" s="40">
        <v>47</v>
      </c>
    </row>
    <row r="266" spans="17:19" x14ac:dyDescent="0.25">
      <c r="Q266" s="39">
        <v>42755</v>
      </c>
      <c r="R266" s="40">
        <v>52.33</v>
      </c>
      <c r="S266" s="40">
        <v>46</v>
      </c>
    </row>
    <row r="267" spans="17:19" x14ac:dyDescent="0.25">
      <c r="Q267" s="39">
        <v>42758</v>
      </c>
      <c r="R267" s="40">
        <v>52.77</v>
      </c>
      <c r="S267" s="40">
        <v>45</v>
      </c>
    </row>
    <row r="268" spans="17:19" x14ac:dyDescent="0.25">
      <c r="Q268" s="39">
        <v>42759</v>
      </c>
      <c r="R268" s="40">
        <v>52.38</v>
      </c>
      <c r="S268" s="40">
        <v>44</v>
      </c>
    </row>
    <row r="269" spans="17:19" x14ac:dyDescent="0.25">
      <c r="Q269" s="39">
        <v>42760</v>
      </c>
      <c r="R269" s="40">
        <v>52.14</v>
      </c>
      <c r="S269" s="40">
        <v>43</v>
      </c>
    </row>
    <row r="270" spans="17:19" x14ac:dyDescent="0.25">
      <c r="Q270" s="39">
        <v>42761</v>
      </c>
      <c r="R270" s="40">
        <v>53.24</v>
      </c>
      <c r="S270" s="40">
        <v>42</v>
      </c>
    </row>
    <row r="271" spans="17:19" x14ac:dyDescent="0.25">
      <c r="Q271" s="39">
        <v>42762</v>
      </c>
      <c r="R271" s="40">
        <v>53.18</v>
      </c>
      <c r="S271" s="40">
        <v>41</v>
      </c>
    </row>
    <row r="272" spans="17:19" x14ac:dyDescent="0.25">
      <c r="Q272" s="39">
        <v>42765</v>
      </c>
      <c r="R272" s="40">
        <v>52.63</v>
      </c>
      <c r="S272" s="40">
        <v>40</v>
      </c>
    </row>
    <row r="273" spans="17:19" x14ac:dyDescent="0.25">
      <c r="Q273" s="39">
        <v>42766</v>
      </c>
      <c r="R273" s="40">
        <v>52.75</v>
      </c>
      <c r="S273" s="40">
        <v>39</v>
      </c>
    </row>
    <row r="274" spans="17:19" x14ac:dyDescent="0.25">
      <c r="Q274" s="39">
        <v>42767</v>
      </c>
      <c r="R274" s="40">
        <v>53.9</v>
      </c>
      <c r="S274" s="40">
        <v>38</v>
      </c>
    </row>
    <row r="275" spans="17:19" x14ac:dyDescent="0.25">
      <c r="Q275" s="39">
        <v>42768</v>
      </c>
      <c r="R275" s="40">
        <v>53.55</v>
      </c>
      <c r="S275" s="40">
        <v>37</v>
      </c>
    </row>
    <row r="276" spans="17:19" x14ac:dyDescent="0.25">
      <c r="Q276" s="39">
        <v>42769</v>
      </c>
      <c r="R276" s="40">
        <v>53.81</v>
      </c>
      <c r="S276" s="40">
        <v>36</v>
      </c>
    </row>
    <row r="277" spans="17:19" x14ac:dyDescent="0.25">
      <c r="Q277" s="39">
        <v>42772</v>
      </c>
      <c r="R277" s="40">
        <v>53.01</v>
      </c>
      <c r="S277" s="40">
        <v>35</v>
      </c>
    </row>
    <row r="278" spans="17:19" x14ac:dyDescent="0.25">
      <c r="Q278" s="39">
        <v>42773</v>
      </c>
      <c r="R278" s="40">
        <v>52.19</v>
      </c>
      <c r="S278" s="40">
        <v>34</v>
      </c>
    </row>
    <row r="279" spans="17:19" x14ac:dyDescent="0.25">
      <c r="Q279" s="39">
        <v>42774</v>
      </c>
      <c r="R279" s="40">
        <v>52.37</v>
      </c>
      <c r="S279" s="40">
        <v>33</v>
      </c>
    </row>
    <row r="280" spans="17:19" x14ac:dyDescent="0.25">
      <c r="Q280" s="39">
        <v>42775</v>
      </c>
      <c r="R280" s="40">
        <v>52.99</v>
      </c>
      <c r="S280" s="40">
        <v>32</v>
      </c>
    </row>
    <row r="281" spans="17:19" x14ac:dyDescent="0.25">
      <c r="Q281" s="39">
        <v>42776</v>
      </c>
      <c r="R281" s="40">
        <v>53.84</v>
      </c>
      <c r="S281" s="40">
        <v>31</v>
      </c>
    </row>
    <row r="282" spans="17:19" x14ac:dyDescent="0.25">
      <c r="Q282" s="39">
        <v>42779</v>
      </c>
      <c r="R282" s="40">
        <v>52.96</v>
      </c>
      <c r="S282" s="40">
        <v>30</v>
      </c>
    </row>
    <row r="283" spans="17:19" x14ac:dyDescent="0.25">
      <c r="Q283" s="39">
        <v>42780</v>
      </c>
      <c r="R283" s="40">
        <v>53.21</v>
      </c>
      <c r="S283" s="40">
        <v>29</v>
      </c>
    </row>
    <row r="284" spans="17:19" x14ac:dyDescent="0.25">
      <c r="Q284" s="39">
        <v>42781</v>
      </c>
      <c r="R284" s="40">
        <v>53.11</v>
      </c>
      <c r="S284" s="40">
        <v>28</v>
      </c>
    </row>
    <row r="285" spans="17:19" x14ac:dyDescent="0.25">
      <c r="Q285" s="39">
        <v>42782</v>
      </c>
      <c r="R285" s="40">
        <v>53.41</v>
      </c>
      <c r="S285" s="40">
        <v>27</v>
      </c>
    </row>
    <row r="286" spans="17:19" x14ac:dyDescent="0.25">
      <c r="Q286" s="39">
        <v>42783</v>
      </c>
      <c r="R286" s="40">
        <v>53.41</v>
      </c>
      <c r="S286" s="40">
        <v>26</v>
      </c>
    </row>
    <row r="287" spans="17:19" x14ac:dyDescent="0.25">
      <c r="Q287" s="39">
        <v>42787</v>
      </c>
      <c r="R287" s="40">
        <v>54.02</v>
      </c>
      <c r="S287" s="40">
        <v>25</v>
      </c>
    </row>
    <row r="288" spans="17:19" x14ac:dyDescent="0.25">
      <c r="Q288" s="39">
        <v>42788</v>
      </c>
      <c r="R288" s="40">
        <v>53.61</v>
      </c>
      <c r="S288" s="40">
        <v>24</v>
      </c>
    </row>
    <row r="289" spans="17:19" x14ac:dyDescent="0.25">
      <c r="Q289" s="39">
        <v>42789</v>
      </c>
      <c r="R289" s="40">
        <v>54.48</v>
      </c>
      <c r="S289" s="40">
        <v>23</v>
      </c>
    </row>
    <row r="290" spans="17:19" x14ac:dyDescent="0.25">
      <c r="Q290" s="39">
        <v>42790</v>
      </c>
      <c r="R290" s="40">
        <v>53.99</v>
      </c>
      <c r="S290" s="40">
        <v>22</v>
      </c>
    </row>
    <row r="291" spans="17:19" x14ac:dyDescent="0.25">
      <c r="Q291" s="39">
        <v>42793</v>
      </c>
      <c r="R291" s="40">
        <v>54.04</v>
      </c>
      <c r="S291" s="40">
        <v>21</v>
      </c>
    </row>
    <row r="292" spans="17:19" x14ac:dyDescent="0.25">
      <c r="Q292" s="39">
        <v>42794</v>
      </c>
      <c r="R292" s="40">
        <v>54</v>
      </c>
      <c r="S292" s="40">
        <v>20</v>
      </c>
    </row>
    <row r="293" spans="17:19" x14ac:dyDescent="0.25">
      <c r="Q293" s="39">
        <v>42795</v>
      </c>
      <c r="R293" s="40">
        <v>53.82</v>
      </c>
      <c r="S293" s="40">
        <v>19</v>
      </c>
    </row>
    <row r="294" spans="17:19" x14ac:dyDescent="0.25">
      <c r="Q294" s="39">
        <v>42796</v>
      </c>
      <c r="R294" s="40">
        <v>52.63</v>
      </c>
      <c r="S294" s="40">
        <v>18</v>
      </c>
    </row>
    <row r="295" spans="17:19" x14ac:dyDescent="0.25">
      <c r="Q295" s="39">
        <v>42797</v>
      </c>
      <c r="R295" s="40">
        <v>53.33</v>
      </c>
      <c r="S295" s="40">
        <v>17</v>
      </c>
    </row>
    <row r="296" spans="17:19" x14ac:dyDescent="0.25">
      <c r="Q296" s="39">
        <v>42800</v>
      </c>
      <c r="R296" s="40">
        <v>53.19</v>
      </c>
      <c r="S296" s="40">
        <v>16</v>
      </c>
    </row>
    <row r="297" spans="17:19" x14ac:dyDescent="0.25">
      <c r="Q297" s="39">
        <v>42801</v>
      </c>
      <c r="R297" s="40">
        <v>52.68</v>
      </c>
      <c r="S297" s="40">
        <v>15</v>
      </c>
    </row>
    <row r="298" spans="17:19" x14ac:dyDescent="0.25">
      <c r="Q298" s="39">
        <v>42802</v>
      </c>
      <c r="R298" s="40">
        <v>49.83</v>
      </c>
      <c r="S298" s="40">
        <v>14</v>
      </c>
    </row>
    <row r="299" spans="17:19" x14ac:dyDescent="0.25">
      <c r="Q299" s="39">
        <v>42803</v>
      </c>
      <c r="R299" s="40">
        <v>48.75</v>
      </c>
      <c r="S299" s="40">
        <v>13</v>
      </c>
    </row>
    <row r="300" spans="17:19" x14ac:dyDescent="0.25">
      <c r="Q300" s="39">
        <v>42804</v>
      </c>
      <c r="R300" s="40">
        <v>48.05</v>
      </c>
      <c r="S300" s="40">
        <v>12</v>
      </c>
    </row>
    <row r="301" spans="17:19" x14ac:dyDescent="0.25">
      <c r="Q301" s="39">
        <v>42807</v>
      </c>
      <c r="R301" s="40">
        <v>47.95</v>
      </c>
      <c r="S301" s="40">
        <v>11</v>
      </c>
    </row>
    <row r="302" spans="17:19" x14ac:dyDescent="0.25">
      <c r="Q302" s="39">
        <v>42808</v>
      </c>
      <c r="R302" s="40">
        <v>47.24</v>
      </c>
      <c r="S302" s="40">
        <v>10</v>
      </c>
    </row>
    <row r="303" spans="17:19" x14ac:dyDescent="0.25">
      <c r="Q303" s="39">
        <v>42809</v>
      </c>
      <c r="R303" s="40">
        <v>48.34</v>
      </c>
      <c r="S303" s="40">
        <v>9</v>
      </c>
    </row>
    <row r="304" spans="17:19" x14ac:dyDescent="0.25">
      <c r="Q304" s="39">
        <v>42810</v>
      </c>
      <c r="R304" s="40">
        <v>48.3</v>
      </c>
      <c r="S304" s="40">
        <v>8</v>
      </c>
    </row>
    <row r="305" spans="16:20" x14ac:dyDescent="0.25">
      <c r="Q305" s="39">
        <v>42811</v>
      </c>
      <c r="R305" s="40">
        <v>48.34</v>
      </c>
      <c r="S305" s="40">
        <v>7</v>
      </c>
    </row>
    <row r="306" spans="16:20" x14ac:dyDescent="0.25">
      <c r="Q306" s="39">
        <v>42814</v>
      </c>
      <c r="R306" s="40">
        <v>47.79</v>
      </c>
      <c r="S306" s="40">
        <v>6</v>
      </c>
    </row>
    <row r="307" spans="16:20" x14ac:dyDescent="0.25">
      <c r="Q307" s="39">
        <v>42815</v>
      </c>
      <c r="R307" s="40">
        <v>47.02</v>
      </c>
      <c r="S307" s="40">
        <v>5</v>
      </c>
    </row>
    <row r="308" spans="16:20" x14ac:dyDescent="0.25">
      <c r="Q308" s="39">
        <v>42816</v>
      </c>
      <c r="R308" s="40">
        <v>47.29</v>
      </c>
      <c r="S308" s="40">
        <v>4</v>
      </c>
    </row>
    <row r="309" spans="16:20" x14ac:dyDescent="0.25">
      <c r="Q309" s="39">
        <v>42817</v>
      </c>
      <c r="R309" s="40">
        <v>47</v>
      </c>
      <c r="S309" s="40">
        <v>3</v>
      </c>
    </row>
    <row r="310" spans="16:20" x14ac:dyDescent="0.25">
      <c r="Q310" s="39">
        <v>42818</v>
      </c>
      <c r="R310" s="40">
        <v>47.3</v>
      </c>
      <c r="S310" s="40">
        <v>2</v>
      </c>
    </row>
    <row r="311" spans="16:20" x14ac:dyDescent="0.25">
      <c r="Q311" s="44">
        <v>42821</v>
      </c>
      <c r="R311" s="45">
        <v>47.02</v>
      </c>
      <c r="S311" s="45">
        <v>1</v>
      </c>
    </row>
    <row r="312" spans="16:20" x14ac:dyDescent="0.25">
      <c r="P312" s="18"/>
      <c r="Q312" s="47"/>
      <c r="R312" s="46"/>
      <c r="S312" s="46"/>
      <c r="T312" s="18"/>
    </row>
    <row r="313" spans="16:20" x14ac:dyDescent="0.25">
      <c r="P313" s="18"/>
      <c r="Q313" s="47"/>
      <c r="R313" s="46"/>
      <c r="S313" s="46"/>
      <c r="T313" s="18"/>
    </row>
    <row r="314" spans="16:20" x14ac:dyDescent="0.25">
      <c r="P314" s="18"/>
      <c r="Q314" s="47"/>
      <c r="R314" s="46"/>
      <c r="S314" s="46"/>
      <c r="T314" s="18"/>
    </row>
    <row r="315" spans="16:20" x14ac:dyDescent="0.25">
      <c r="P315" s="18"/>
      <c r="Q315" s="47"/>
      <c r="R315" s="46"/>
      <c r="S315" s="46"/>
      <c r="T315" s="18"/>
    </row>
    <row r="316" spans="16:20" x14ac:dyDescent="0.25">
      <c r="P316" s="18"/>
      <c r="Q316" s="47"/>
      <c r="R316" s="46"/>
      <c r="S316" s="46"/>
      <c r="T316" s="18"/>
    </row>
    <row r="317" spans="16:20" x14ac:dyDescent="0.25">
      <c r="P317" s="18"/>
      <c r="Q317" s="47"/>
      <c r="R317" s="46"/>
      <c r="S317" s="46"/>
      <c r="T317" s="18"/>
    </row>
    <row r="318" spans="16:20" x14ac:dyDescent="0.25">
      <c r="P318" s="18"/>
      <c r="Q318" s="47"/>
      <c r="R318" s="46"/>
      <c r="S318" s="46"/>
      <c r="T318" s="18"/>
    </row>
    <row r="319" spans="16:20" x14ac:dyDescent="0.25">
      <c r="P319" s="18"/>
      <c r="Q319" s="47"/>
      <c r="R319" s="46"/>
      <c r="S319" s="46"/>
      <c r="T319" s="18"/>
    </row>
    <row r="320" spans="16:20" x14ac:dyDescent="0.25">
      <c r="P320" s="18"/>
      <c r="Q320" s="47"/>
      <c r="R320" s="46"/>
      <c r="S320" s="46"/>
      <c r="T320" s="18"/>
    </row>
    <row r="321" spans="16:20" x14ac:dyDescent="0.25">
      <c r="P321" s="18"/>
      <c r="Q321" s="47"/>
      <c r="R321" s="46"/>
      <c r="S321" s="46"/>
      <c r="T321" s="18"/>
    </row>
    <row r="322" spans="16:20" x14ac:dyDescent="0.25">
      <c r="P322" s="18"/>
      <c r="Q322" s="47"/>
      <c r="R322" s="46"/>
      <c r="S322" s="46"/>
      <c r="T322" s="18"/>
    </row>
    <row r="323" spans="16:20" x14ac:dyDescent="0.25">
      <c r="P323" s="18"/>
      <c r="Q323" s="47"/>
      <c r="R323" s="46"/>
      <c r="S323" s="46"/>
      <c r="T323" s="18"/>
    </row>
    <row r="324" spans="16:20" x14ac:dyDescent="0.25">
      <c r="P324" s="18"/>
      <c r="Q324" s="47"/>
      <c r="R324" s="46"/>
      <c r="S324" s="46"/>
      <c r="T324" s="18"/>
    </row>
    <row r="325" spans="16:20" x14ac:dyDescent="0.25">
      <c r="P325" s="18"/>
      <c r="Q325" s="47"/>
      <c r="R325" s="46"/>
      <c r="S325" s="46"/>
      <c r="T325" s="18"/>
    </row>
    <row r="326" spans="16:20" x14ac:dyDescent="0.25">
      <c r="P326" s="18"/>
      <c r="Q326" s="47"/>
      <c r="R326" s="46"/>
      <c r="S326" s="46"/>
      <c r="T326" s="18"/>
    </row>
    <row r="327" spans="16:20" x14ac:dyDescent="0.25">
      <c r="P327" s="18"/>
      <c r="Q327" s="47"/>
      <c r="R327" s="46"/>
      <c r="S327" s="46"/>
      <c r="T327" s="18"/>
    </row>
    <row r="328" spans="16:20" x14ac:dyDescent="0.25">
      <c r="P328" s="18"/>
      <c r="Q328" s="47"/>
      <c r="R328" s="46"/>
      <c r="S328" s="46"/>
      <c r="T328" s="18"/>
    </row>
    <row r="329" spans="16:20" x14ac:dyDescent="0.25">
      <c r="P329" s="18"/>
      <c r="Q329" s="47"/>
      <c r="R329" s="46"/>
      <c r="S329" s="46"/>
      <c r="T329" s="18"/>
    </row>
    <row r="330" spans="16:20" x14ac:dyDescent="0.25">
      <c r="P330" s="18"/>
      <c r="Q330" s="47"/>
      <c r="R330" s="46"/>
      <c r="S330" s="46"/>
      <c r="T330" s="18"/>
    </row>
    <row r="331" spans="16:20" x14ac:dyDescent="0.25">
      <c r="P331" s="18"/>
      <c r="Q331" s="47"/>
      <c r="R331" s="46"/>
      <c r="S331" s="46"/>
      <c r="T331" s="18"/>
    </row>
    <row r="332" spans="16:20" x14ac:dyDescent="0.25">
      <c r="P332" s="18"/>
      <c r="Q332" s="47"/>
      <c r="R332" s="46"/>
      <c r="S332" s="46"/>
      <c r="T332" s="18"/>
    </row>
    <row r="333" spans="16:20" x14ac:dyDescent="0.25">
      <c r="P333" s="18"/>
      <c r="Q333" s="47"/>
      <c r="R333" s="46"/>
      <c r="S333" s="46"/>
      <c r="T333" s="18"/>
    </row>
    <row r="334" spans="16:20" x14ac:dyDescent="0.25">
      <c r="P334" s="18"/>
      <c r="Q334" s="47"/>
      <c r="R334" s="46"/>
      <c r="S334" s="46"/>
      <c r="T334" s="18"/>
    </row>
    <row r="335" spans="16:20" x14ac:dyDescent="0.25">
      <c r="P335" s="18"/>
      <c r="Q335" s="47"/>
      <c r="R335" s="46"/>
      <c r="S335" s="46"/>
      <c r="T335" s="18"/>
    </row>
    <row r="336" spans="16:20" x14ac:dyDescent="0.25">
      <c r="P336" s="18"/>
      <c r="Q336" s="47"/>
      <c r="R336" s="46"/>
      <c r="S336" s="46"/>
      <c r="T336" s="18"/>
    </row>
    <row r="337" spans="16:20" x14ac:dyDescent="0.25">
      <c r="P337" s="18"/>
      <c r="Q337" s="47"/>
      <c r="R337" s="46"/>
      <c r="S337" s="46"/>
      <c r="T337" s="18"/>
    </row>
    <row r="338" spans="16:20" x14ac:dyDescent="0.25">
      <c r="P338" s="18"/>
      <c r="Q338" s="47"/>
      <c r="R338" s="46"/>
      <c r="S338" s="46"/>
      <c r="T338" s="18"/>
    </row>
    <row r="339" spans="16:20" x14ac:dyDescent="0.25">
      <c r="P339" s="18"/>
      <c r="Q339" s="47"/>
      <c r="R339" s="46"/>
      <c r="S339" s="46"/>
      <c r="T339" s="18"/>
    </row>
    <row r="340" spans="16:20" x14ac:dyDescent="0.25">
      <c r="P340" s="18"/>
      <c r="Q340" s="47"/>
      <c r="R340" s="46"/>
      <c r="S340" s="46"/>
      <c r="T340" s="18"/>
    </row>
    <row r="341" spans="16:20" x14ac:dyDescent="0.25">
      <c r="P341" s="18"/>
      <c r="Q341" s="47"/>
      <c r="R341" s="46"/>
      <c r="S341" s="46"/>
      <c r="T341" s="18"/>
    </row>
    <row r="342" spans="16:20" x14ac:dyDescent="0.25">
      <c r="P342" s="18"/>
      <c r="Q342" s="47"/>
      <c r="R342" s="46"/>
      <c r="S342" s="46"/>
      <c r="T342" s="18"/>
    </row>
    <row r="343" spans="16:20" x14ac:dyDescent="0.25">
      <c r="P343" s="18"/>
      <c r="Q343" s="47"/>
      <c r="R343" s="46"/>
      <c r="S343" s="46"/>
      <c r="T343" s="18"/>
    </row>
    <row r="344" spans="16:20" x14ac:dyDescent="0.25">
      <c r="P344" s="18"/>
      <c r="Q344" s="47"/>
      <c r="R344" s="46"/>
      <c r="S344" s="46"/>
      <c r="T344" s="18"/>
    </row>
    <row r="345" spans="16:20" x14ac:dyDescent="0.25">
      <c r="P345" s="18"/>
      <c r="Q345" s="47"/>
      <c r="R345" s="46"/>
      <c r="S345" s="46"/>
      <c r="T345" s="18"/>
    </row>
    <row r="346" spans="16:20" x14ac:dyDescent="0.25">
      <c r="P346" s="18"/>
      <c r="Q346" s="47"/>
      <c r="R346" s="46"/>
      <c r="S346" s="46"/>
      <c r="T346" s="18"/>
    </row>
    <row r="347" spans="16:20" x14ac:dyDescent="0.25">
      <c r="P347" s="18"/>
      <c r="Q347" s="47"/>
      <c r="R347" s="46"/>
      <c r="S347" s="46"/>
      <c r="T347" s="18"/>
    </row>
    <row r="348" spans="16:20" x14ac:dyDescent="0.25">
      <c r="P348" s="18"/>
      <c r="Q348" s="47"/>
      <c r="R348" s="46"/>
      <c r="S348" s="46"/>
      <c r="T348" s="18"/>
    </row>
    <row r="349" spans="16:20" x14ac:dyDescent="0.25">
      <c r="P349" s="18"/>
      <c r="Q349" s="47"/>
      <c r="R349" s="46"/>
      <c r="S349" s="46"/>
      <c r="T349" s="18"/>
    </row>
    <row r="350" spans="16:20" x14ac:dyDescent="0.25">
      <c r="P350" s="18"/>
      <c r="Q350" s="47"/>
      <c r="R350" s="46"/>
      <c r="S350" s="46"/>
      <c r="T350" s="18"/>
    </row>
    <row r="351" spans="16:20" x14ac:dyDescent="0.25">
      <c r="P351" s="18"/>
      <c r="Q351" s="47"/>
      <c r="R351" s="46"/>
      <c r="S351" s="46"/>
      <c r="T351" s="18"/>
    </row>
    <row r="352" spans="16:20" x14ac:dyDescent="0.25">
      <c r="P352" s="18"/>
      <c r="Q352" s="47"/>
      <c r="R352" s="46"/>
      <c r="S352" s="46"/>
      <c r="T352" s="18"/>
    </row>
    <row r="353" spans="16:20" x14ac:dyDescent="0.25">
      <c r="P353" s="18"/>
      <c r="Q353" s="47"/>
      <c r="R353" s="46"/>
      <c r="S353" s="46"/>
      <c r="T353" s="18"/>
    </row>
    <row r="354" spans="16:20" x14ac:dyDescent="0.25">
      <c r="P354" s="18"/>
      <c r="Q354" s="47"/>
      <c r="R354" s="46"/>
      <c r="S354" s="46"/>
      <c r="T354" s="18"/>
    </row>
    <row r="355" spans="16:20" x14ac:dyDescent="0.25">
      <c r="P355" s="18"/>
      <c r="Q355" s="47"/>
      <c r="R355" s="46"/>
      <c r="S355" s="46"/>
      <c r="T355" s="18"/>
    </row>
    <row r="356" spans="16:20" x14ac:dyDescent="0.25">
      <c r="P356" s="18"/>
      <c r="Q356" s="47"/>
      <c r="R356" s="46"/>
      <c r="S356" s="46"/>
      <c r="T356" s="18"/>
    </row>
    <row r="357" spans="16:20" x14ac:dyDescent="0.25">
      <c r="P357" s="18"/>
      <c r="Q357" s="47"/>
      <c r="R357" s="46"/>
      <c r="S357" s="46"/>
      <c r="T357" s="18"/>
    </row>
    <row r="358" spans="16:20" x14ac:dyDescent="0.25">
      <c r="P358" s="18"/>
      <c r="Q358" s="47"/>
      <c r="R358" s="46"/>
      <c r="S358" s="46"/>
      <c r="T358" s="18"/>
    </row>
    <row r="359" spans="16:20" x14ac:dyDescent="0.25">
      <c r="P359" s="18"/>
      <c r="Q359" s="47"/>
      <c r="R359" s="46"/>
      <c r="S359" s="46"/>
      <c r="T359" s="18"/>
    </row>
    <row r="360" spans="16:20" x14ac:dyDescent="0.25">
      <c r="P360" s="18"/>
      <c r="Q360" s="47"/>
      <c r="R360" s="46"/>
      <c r="S360" s="46"/>
      <c r="T360" s="18"/>
    </row>
    <row r="361" spans="16:20" x14ac:dyDescent="0.25">
      <c r="P361" s="18"/>
      <c r="Q361" s="47"/>
      <c r="R361" s="46"/>
      <c r="S361" s="46"/>
      <c r="T361" s="18"/>
    </row>
    <row r="362" spans="16:20" x14ac:dyDescent="0.25">
      <c r="P362" s="18"/>
      <c r="Q362" s="47"/>
      <c r="R362" s="46"/>
      <c r="S362" s="46"/>
      <c r="T362" s="18"/>
    </row>
    <row r="363" spans="16:20" x14ac:dyDescent="0.25">
      <c r="P363" s="18"/>
      <c r="Q363" s="47"/>
      <c r="R363" s="46"/>
      <c r="S363" s="46"/>
      <c r="T363" s="18"/>
    </row>
    <row r="364" spans="16:20" x14ac:dyDescent="0.25">
      <c r="P364" s="18"/>
      <c r="Q364" s="47"/>
      <c r="R364" s="46"/>
      <c r="S364" s="46"/>
      <c r="T364" s="18"/>
    </row>
    <row r="365" spans="16:20" x14ac:dyDescent="0.25">
      <c r="P365" s="18"/>
      <c r="Q365" s="47"/>
      <c r="R365" s="46"/>
      <c r="S365" s="46"/>
      <c r="T365" s="18"/>
    </row>
    <row r="366" spans="16:20" x14ac:dyDescent="0.25">
      <c r="P366" s="18"/>
      <c r="Q366" s="47"/>
      <c r="R366" s="46"/>
      <c r="S366" s="46"/>
      <c r="T366" s="18"/>
    </row>
    <row r="367" spans="16:20" x14ac:dyDescent="0.25">
      <c r="P367" s="18"/>
      <c r="Q367" s="47"/>
      <c r="R367" s="46"/>
      <c r="S367" s="46"/>
      <c r="T367" s="18"/>
    </row>
    <row r="368" spans="16:20" x14ac:dyDescent="0.25">
      <c r="P368" s="18"/>
      <c r="Q368" s="47"/>
      <c r="R368" s="46"/>
      <c r="S368" s="46"/>
      <c r="T368" s="18"/>
    </row>
    <row r="369" spans="16:20" x14ac:dyDescent="0.25">
      <c r="P369" s="18"/>
      <c r="Q369" s="47"/>
      <c r="R369" s="46"/>
      <c r="S369" s="46"/>
      <c r="T369" s="18"/>
    </row>
    <row r="370" spans="16:20" x14ac:dyDescent="0.25">
      <c r="P370" s="18"/>
      <c r="Q370" s="47"/>
      <c r="R370" s="46"/>
      <c r="S370" s="46"/>
      <c r="T370" s="18"/>
    </row>
    <row r="371" spans="16:20" x14ac:dyDescent="0.25">
      <c r="P371" s="18"/>
      <c r="Q371" s="47"/>
      <c r="R371" s="46"/>
      <c r="S371" s="46"/>
      <c r="T371" s="18"/>
    </row>
    <row r="372" spans="16:20" x14ac:dyDescent="0.25">
      <c r="P372" s="18"/>
      <c r="Q372" s="47"/>
      <c r="R372" s="46"/>
      <c r="S372" s="46"/>
      <c r="T372" s="18"/>
    </row>
    <row r="373" spans="16:20" x14ac:dyDescent="0.25">
      <c r="P373" s="18"/>
      <c r="Q373" s="47"/>
      <c r="R373" s="46"/>
      <c r="S373" s="46"/>
      <c r="T373" s="18"/>
    </row>
    <row r="374" spans="16:20" x14ac:dyDescent="0.25">
      <c r="P374" s="18"/>
      <c r="Q374" s="47"/>
      <c r="R374" s="46"/>
      <c r="S374" s="46"/>
      <c r="T374" s="18"/>
    </row>
    <row r="375" spans="16:20" x14ac:dyDescent="0.25">
      <c r="P375" s="18"/>
      <c r="Q375" s="47"/>
      <c r="R375" s="46"/>
      <c r="S375" s="46"/>
      <c r="T375" s="18"/>
    </row>
    <row r="376" spans="16:20" x14ac:dyDescent="0.25">
      <c r="P376" s="18"/>
      <c r="Q376" s="47"/>
      <c r="R376" s="46"/>
      <c r="S376" s="46"/>
      <c r="T376" s="18"/>
    </row>
    <row r="377" spans="16:20" x14ac:dyDescent="0.25">
      <c r="P377" s="18"/>
      <c r="Q377" s="47"/>
      <c r="R377" s="46"/>
      <c r="S377" s="46"/>
      <c r="T377" s="18"/>
    </row>
    <row r="378" spans="16:20" x14ac:dyDescent="0.25">
      <c r="P378" s="18"/>
      <c r="Q378" s="47"/>
      <c r="R378" s="46"/>
      <c r="S378" s="46"/>
      <c r="T378" s="18"/>
    </row>
    <row r="379" spans="16:20" x14ac:dyDescent="0.25">
      <c r="P379" s="18"/>
      <c r="Q379" s="47"/>
      <c r="R379" s="46"/>
      <c r="S379" s="46"/>
      <c r="T379" s="18"/>
    </row>
    <row r="380" spans="16:20" x14ac:dyDescent="0.25">
      <c r="P380" s="18"/>
      <c r="Q380" s="47"/>
      <c r="R380" s="46"/>
      <c r="S380" s="46"/>
      <c r="T380" s="18"/>
    </row>
    <row r="381" spans="16:20" x14ac:dyDescent="0.25">
      <c r="P381" s="18"/>
      <c r="Q381" s="47"/>
      <c r="R381" s="46"/>
      <c r="S381" s="46"/>
      <c r="T381" s="18"/>
    </row>
    <row r="382" spans="16:20" x14ac:dyDescent="0.25">
      <c r="P382" s="18"/>
      <c r="Q382" s="47"/>
      <c r="R382" s="46"/>
      <c r="S382" s="46"/>
      <c r="T382" s="18"/>
    </row>
    <row r="383" spans="16:20" x14ac:dyDescent="0.25">
      <c r="P383" s="18"/>
      <c r="Q383" s="47"/>
      <c r="R383" s="46"/>
      <c r="S383" s="46"/>
      <c r="T383" s="18"/>
    </row>
    <row r="384" spans="16:20" x14ac:dyDescent="0.25">
      <c r="P384" s="18"/>
      <c r="Q384" s="47"/>
      <c r="R384" s="46"/>
      <c r="S384" s="46"/>
      <c r="T384" s="18"/>
    </row>
    <row r="385" spans="16:20" x14ac:dyDescent="0.25">
      <c r="P385" s="18"/>
      <c r="Q385" s="47"/>
      <c r="R385" s="46"/>
      <c r="S385" s="46"/>
      <c r="T385" s="18"/>
    </row>
    <row r="386" spans="16:20" x14ac:dyDescent="0.25">
      <c r="P386" s="18"/>
      <c r="Q386" s="47"/>
      <c r="R386" s="46"/>
      <c r="S386" s="46"/>
      <c r="T386" s="18"/>
    </row>
    <row r="387" spans="16:20" x14ac:dyDescent="0.25">
      <c r="P387" s="18"/>
      <c r="Q387" s="47"/>
      <c r="R387" s="46"/>
      <c r="S387" s="46"/>
      <c r="T387" s="18"/>
    </row>
    <row r="388" spans="16:20" x14ac:dyDescent="0.25">
      <c r="P388" s="18"/>
      <c r="Q388" s="47"/>
      <c r="R388" s="46"/>
      <c r="S388" s="46"/>
      <c r="T388" s="18"/>
    </row>
    <row r="389" spans="16:20" x14ac:dyDescent="0.25">
      <c r="P389" s="18"/>
      <c r="Q389" s="47"/>
      <c r="R389" s="46"/>
      <c r="S389" s="46"/>
      <c r="T389" s="18"/>
    </row>
    <row r="390" spans="16:20" x14ac:dyDescent="0.25">
      <c r="P390" s="18"/>
      <c r="Q390" s="47"/>
      <c r="R390" s="46"/>
      <c r="S390" s="46"/>
      <c r="T390" s="18"/>
    </row>
    <row r="391" spans="16:20" x14ac:dyDescent="0.25">
      <c r="P391" s="18"/>
      <c r="Q391" s="47"/>
      <c r="R391" s="46"/>
      <c r="S391" s="46"/>
      <c r="T391" s="18"/>
    </row>
    <row r="392" spans="16:20" x14ac:dyDescent="0.25">
      <c r="P392" s="18"/>
      <c r="Q392" s="47"/>
      <c r="R392" s="46"/>
      <c r="S392" s="46"/>
      <c r="T392" s="18"/>
    </row>
    <row r="393" spans="16:20" x14ac:dyDescent="0.25">
      <c r="P393" s="18"/>
      <c r="Q393" s="47"/>
      <c r="R393" s="46"/>
      <c r="S393" s="46"/>
      <c r="T393" s="18"/>
    </row>
    <row r="394" spans="16:20" x14ac:dyDescent="0.25">
      <c r="P394" s="18"/>
      <c r="Q394" s="47"/>
      <c r="R394" s="46"/>
      <c r="S394" s="46"/>
      <c r="T394" s="18"/>
    </row>
    <row r="395" spans="16:20" x14ac:dyDescent="0.25">
      <c r="P395" s="18"/>
      <c r="Q395" s="47"/>
      <c r="R395" s="46"/>
      <c r="S395" s="46"/>
      <c r="T395" s="18"/>
    </row>
    <row r="396" spans="16:20" x14ac:dyDescent="0.25">
      <c r="P396" s="18"/>
      <c r="Q396" s="47"/>
      <c r="R396" s="46"/>
      <c r="S396" s="46"/>
      <c r="T396" s="18"/>
    </row>
    <row r="397" spans="16:20" x14ac:dyDescent="0.25">
      <c r="P397" s="18"/>
      <c r="Q397" s="47"/>
      <c r="R397" s="46"/>
      <c r="S397" s="46"/>
      <c r="T397" s="18"/>
    </row>
    <row r="398" spans="16:20" x14ac:dyDescent="0.25">
      <c r="P398" s="18"/>
      <c r="Q398" s="47"/>
      <c r="R398" s="46"/>
      <c r="S398" s="46"/>
      <c r="T398" s="18"/>
    </row>
    <row r="399" spans="16:20" x14ac:dyDescent="0.25">
      <c r="P399" s="18"/>
      <c r="Q399" s="47"/>
      <c r="R399" s="46"/>
      <c r="S399" s="46"/>
      <c r="T399" s="18"/>
    </row>
    <row r="400" spans="16:20" x14ac:dyDescent="0.25">
      <c r="P400" s="18"/>
      <c r="Q400" s="47"/>
      <c r="R400" s="46"/>
      <c r="S400" s="46"/>
      <c r="T400" s="18"/>
    </row>
    <row r="401" spans="16:20" x14ac:dyDescent="0.25">
      <c r="P401" s="18"/>
      <c r="Q401" s="47"/>
      <c r="R401" s="46"/>
      <c r="S401" s="46"/>
      <c r="T401" s="18"/>
    </row>
    <row r="402" spans="16:20" x14ac:dyDescent="0.25">
      <c r="P402" s="18"/>
      <c r="Q402" s="47"/>
      <c r="R402" s="46"/>
      <c r="S402" s="46"/>
      <c r="T402" s="18"/>
    </row>
    <row r="403" spans="16:20" x14ac:dyDescent="0.25">
      <c r="P403" s="18"/>
      <c r="Q403" s="47"/>
      <c r="R403" s="46"/>
      <c r="S403" s="46"/>
      <c r="T403" s="18"/>
    </row>
    <row r="404" spans="16:20" x14ac:dyDescent="0.25">
      <c r="P404" s="18"/>
      <c r="Q404" s="47"/>
      <c r="R404" s="46"/>
      <c r="S404" s="46"/>
      <c r="T404" s="18"/>
    </row>
    <row r="405" spans="16:20" x14ac:dyDescent="0.25">
      <c r="P405" s="18"/>
      <c r="Q405" s="47"/>
      <c r="R405" s="46"/>
      <c r="S405" s="46"/>
      <c r="T405" s="18"/>
    </row>
    <row r="406" spans="16:20" x14ac:dyDescent="0.25">
      <c r="P406" s="18"/>
      <c r="Q406" s="47"/>
      <c r="R406" s="46"/>
      <c r="S406" s="46"/>
      <c r="T406" s="18"/>
    </row>
    <row r="407" spans="16:20" x14ac:dyDescent="0.25">
      <c r="P407" s="18"/>
      <c r="Q407" s="47"/>
      <c r="R407" s="46"/>
      <c r="S407" s="46"/>
      <c r="T407" s="18"/>
    </row>
    <row r="408" spans="16:20" x14ac:dyDescent="0.25">
      <c r="P408" s="18"/>
      <c r="Q408" s="47"/>
      <c r="R408" s="46"/>
      <c r="S408" s="46"/>
      <c r="T408" s="18"/>
    </row>
    <row r="409" spans="16:20" x14ac:dyDescent="0.25">
      <c r="P409" s="18"/>
      <c r="Q409" s="47"/>
      <c r="R409" s="46"/>
      <c r="S409" s="46"/>
      <c r="T409" s="18"/>
    </row>
    <row r="410" spans="16:20" x14ac:dyDescent="0.25">
      <c r="P410" s="18"/>
      <c r="Q410" s="47"/>
      <c r="R410" s="46"/>
      <c r="S410" s="46"/>
      <c r="T410" s="18"/>
    </row>
    <row r="411" spans="16:20" x14ac:dyDescent="0.25">
      <c r="P411" s="18"/>
      <c r="Q411" s="47"/>
      <c r="R411" s="46"/>
      <c r="S411" s="46"/>
      <c r="T411" s="18"/>
    </row>
    <row r="412" spans="16:20" x14ac:dyDescent="0.25">
      <c r="P412" s="18"/>
      <c r="Q412" s="47"/>
      <c r="R412" s="46"/>
      <c r="S412" s="46"/>
      <c r="T412" s="18"/>
    </row>
    <row r="413" spans="16:20" x14ac:dyDescent="0.25">
      <c r="P413" s="18"/>
      <c r="Q413" s="47"/>
      <c r="R413" s="46"/>
      <c r="S413" s="46"/>
      <c r="T413" s="18"/>
    </row>
    <row r="414" spans="16:20" x14ac:dyDescent="0.25">
      <c r="P414" s="18"/>
      <c r="Q414" s="47"/>
      <c r="R414" s="46"/>
      <c r="S414" s="46"/>
      <c r="T414" s="18"/>
    </row>
    <row r="415" spans="16:20" x14ac:dyDescent="0.25">
      <c r="P415" s="18"/>
      <c r="Q415" s="47"/>
      <c r="R415" s="46"/>
      <c r="S415" s="46"/>
      <c r="T415" s="18"/>
    </row>
    <row r="416" spans="16:20" x14ac:dyDescent="0.25">
      <c r="P416" s="18"/>
      <c r="Q416" s="47"/>
      <c r="R416" s="46"/>
      <c r="S416" s="46"/>
      <c r="T416" s="18"/>
    </row>
    <row r="417" spans="16:20" x14ac:dyDescent="0.25">
      <c r="P417" s="18"/>
      <c r="Q417" s="47"/>
      <c r="R417" s="46"/>
      <c r="S417" s="46"/>
      <c r="T417" s="18"/>
    </row>
    <row r="418" spans="16:20" x14ac:dyDescent="0.25">
      <c r="P418" s="18"/>
      <c r="Q418" s="47"/>
      <c r="R418" s="46"/>
      <c r="S418" s="46"/>
      <c r="T418" s="18"/>
    </row>
    <row r="419" spans="16:20" x14ac:dyDescent="0.25">
      <c r="P419" s="18"/>
      <c r="Q419" s="47"/>
      <c r="R419" s="46"/>
      <c r="S419" s="46"/>
      <c r="T419" s="18"/>
    </row>
    <row r="420" spans="16:20" x14ac:dyDescent="0.25">
      <c r="P420" s="18"/>
      <c r="Q420" s="47"/>
      <c r="R420" s="46"/>
      <c r="S420" s="46"/>
      <c r="T420" s="18"/>
    </row>
    <row r="421" spans="16:20" x14ac:dyDescent="0.25">
      <c r="P421" s="18"/>
      <c r="Q421" s="47"/>
      <c r="R421" s="46"/>
      <c r="S421" s="46"/>
      <c r="T421" s="18"/>
    </row>
    <row r="422" spans="16:20" x14ac:dyDescent="0.25">
      <c r="P422" s="18"/>
      <c r="Q422" s="47"/>
      <c r="R422" s="46"/>
      <c r="S422" s="46"/>
      <c r="T422" s="18"/>
    </row>
    <row r="423" spans="16:20" x14ac:dyDescent="0.25">
      <c r="P423" s="18"/>
      <c r="Q423" s="47"/>
      <c r="R423" s="46"/>
      <c r="S423" s="46"/>
      <c r="T423" s="18"/>
    </row>
    <row r="424" spans="16:20" x14ac:dyDescent="0.25">
      <c r="P424" s="18"/>
      <c r="Q424" s="47"/>
      <c r="R424" s="46"/>
      <c r="S424" s="46"/>
      <c r="T424" s="18"/>
    </row>
    <row r="425" spans="16:20" x14ac:dyDescent="0.25">
      <c r="P425" s="18"/>
      <c r="Q425" s="47"/>
      <c r="R425" s="46"/>
      <c r="S425" s="46"/>
      <c r="T425" s="18"/>
    </row>
    <row r="426" spans="16:20" x14ac:dyDescent="0.25">
      <c r="P426" s="18"/>
      <c r="Q426" s="47"/>
      <c r="R426" s="46"/>
      <c r="S426" s="46"/>
      <c r="T426" s="18"/>
    </row>
    <row r="427" spans="16:20" x14ac:dyDescent="0.25">
      <c r="P427" s="18"/>
      <c r="Q427" s="47"/>
      <c r="R427" s="46"/>
      <c r="S427" s="46"/>
      <c r="T427" s="18"/>
    </row>
    <row r="428" spans="16:20" x14ac:dyDescent="0.25">
      <c r="P428" s="18"/>
      <c r="Q428" s="47"/>
      <c r="R428" s="46"/>
      <c r="S428" s="46"/>
      <c r="T428" s="18"/>
    </row>
    <row r="429" spans="16:20" x14ac:dyDescent="0.25">
      <c r="P429" s="18"/>
      <c r="Q429" s="47"/>
      <c r="R429" s="46"/>
      <c r="S429" s="46"/>
      <c r="T429" s="18"/>
    </row>
    <row r="430" spans="16:20" x14ac:dyDescent="0.25">
      <c r="P430" s="18"/>
      <c r="Q430" s="47"/>
      <c r="R430" s="46"/>
      <c r="S430" s="46"/>
      <c r="T430" s="18"/>
    </row>
    <row r="431" spans="16:20" x14ac:dyDescent="0.25">
      <c r="P431" s="18"/>
      <c r="Q431" s="47"/>
      <c r="R431" s="46"/>
      <c r="S431" s="46"/>
      <c r="T431" s="18"/>
    </row>
    <row r="432" spans="16:20" x14ac:dyDescent="0.25">
      <c r="P432" s="18"/>
      <c r="Q432" s="47"/>
      <c r="R432" s="46"/>
      <c r="S432" s="46"/>
      <c r="T432" s="18"/>
    </row>
    <row r="433" spans="16:20" x14ac:dyDescent="0.25">
      <c r="P433" s="18"/>
      <c r="Q433" s="47"/>
      <c r="R433" s="46"/>
      <c r="S433" s="46"/>
      <c r="T433" s="18"/>
    </row>
    <row r="434" spans="16:20" x14ac:dyDescent="0.25">
      <c r="P434" s="18"/>
      <c r="Q434" s="47"/>
      <c r="R434" s="46"/>
      <c r="S434" s="46"/>
      <c r="T434" s="18"/>
    </row>
    <row r="435" spans="16:20" x14ac:dyDescent="0.25">
      <c r="P435" s="18"/>
      <c r="Q435" s="47"/>
      <c r="R435" s="46"/>
      <c r="S435" s="46"/>
      <c r="T435" s="18"/>
    </row>
    <row r="436" spans="16:20" x14ac:dyDescent="0.25">
      <c r="P436" s="18"/>
      <c r="Q436" s="47"/>
      <c r="R436" s="46"/>
      <c r="S436" s="46"/>
      <c r="T436" s="18"/>
    </row>
    <row r="437" spans="16:20" x14ac:dyDescent="0.25">
      <c r="P437" s="18"/>
      <c r="Q437" s="47"/>
      <c r="R437" s="46"/>
      <c r="S437" s="46"/>
      <c r="T437" s="18"/>
    </row>
    <row r="438" spans="16:20" x14ac:dyDescent="0.25">
      <c r="P438" s="18"/>
      <c r="Q438" s="47"/>
      <c r="R438" s="46"/>
      <c r="S438" s="46"/>
      <c r="T438" s="18"/>
    </row>
    <row r="439" spans="16:20" x14ac:dyDescent="0.25">
      <c r="P439" s="18"/>
      <c r="Q439" s="47"/>
      <c r="R439" s="46"/>
      <c r="S439" s="46"/>
      <c r="T439" s="18"/>
    </row>
    <row r="440" spans="16:20" x14ac:dyDescent="0.25">
      <c r="P440" s="18"/>
      <c r="Q440" s="47"/>
      <c r="R440" s="46"/>
      <c r="S440" s="46"/>
      <c r="T440" s="18"/>
    </row>
    <row r="441" spans="16:20" x14ac:dyDescent="0.25">
      <c r="P441" s="18"/>
      <c r="Q441" s="47"/>
      <c r="R441" s="46"/>
      <c r="S441" s="46"/>
      <c r="T441" s="18"/>
    </row>
    <row r="442" spans="16:20" x14ac:dyDescent="0.25">
      <c r="P442" s="18"/>
      <c r="Q442" s="47"/>
      <c r="R442" s="46"/>
      <c r="S442" s="46"/>
      <c r="T442" s="18"/>
    </row>
    <row r="443" spans="16:20" x14ac:dyDescent="0.25">
      <c r="P443" s="18"/>
      <c r="Q443" s="47"/>
      <c r="R443" s="46"/>
      <c r="S443" s="46"/>
      <c r="T443" s="18"/>
    </row>
    <row r="444" spans="16:20" x14ac:dyDescent="0.25">
      <c r="P444" s="18"/>
      <c r="Q444" s="47"/>
      <c r="R444" s="46"/>
      <c r="S444" s="46"/>
      <c r="T444" s="18"/>
    </row>
    <row r="445" spans="16:20" x14ac:dyDescent="0.25">
      <c r="P445" s="18"/>
      <c r="Q445" s="47"/>
      <c r="R445" s="46"/>
      <c r="S445" s="46"/>
      <c r="T445" s="18"/>
    </row>
    <row r="446" spans="16:20" x14ac:dyDescent="0.25">
      <c r="P446" s="18"/>
      <c r="Q446" s="47"/>
      <c r="R446" s="46"/>
      <c r="S446" s="46"/>
      <c r="T446" s="18"/>
    </row>
    <row r="447" spans="16:20" x14ac:dyDescent="0.25">
      <c r="P447" s="18"/>
      <c r="Q447" s="47"/>
      <c r="R447" s="46"/>
      <c r="S447" s="46"/>
      <c r="T447" s="18"/>
    </row>
    <row r="448" spans="16:20" x14ac:dyDescent="0.25">
      <c r="P448" s="18"/>
      <c r="Q448" s="47"/>
      <c r="R448" s="46"/>
      <c r="S448" s="46"/>
      <c r="T448" s="18"/>
    </row>
    <row r="449" spans="16:20" x14ac:dyDescent="0.25">
      <c r="P449" s="18"/>
      <c r="Q449" s="47"/>
      <c r="R449" s="46"/>
      <c r="S449" s="46"/>
      <c r="T449" s="18"/>
    </row>
    <row r="450" spans="16:20" x14ac:dyDescent="0.25">
      <c r="P450" s="18"/>
      <c r="Q450" s="47"/>
      <c r="R450" s="46"/>
      <c r="S450" s="46"/>
      <c r="T450" s="18"/>
    </row>
    <row r="451" spans="16:20" x14ac:dyDescent="0.25">
      <c r="P451" s="18"/>
      <c r="Q451" s="47"/>
      <c r="R451" s="46"/>
      <c r="S451" s="46"/>
      <c r="T451" s="18"/>
    </row>
    <row r="452" spans="16:20" x14ac:dyDescent="0.25">
      <c r="P452" s="18"/>
      <c r="Q452" s="47"/>
      <c r="R452" s="46"/>
      <c r="S452" s="46"/>
      <c r="T452" s="18"/>
    </row>
    <row r="453" spans="16:20" x14ac:dyDescent="0.25">
      <c r="P453" s="18"/>
      <c r="Q453" s="47"/>
      <c r="R453" s="46"/>
      <c r="S453" s="46"/>
      <c r="T453" s="18"/>
    </row>
    <row r="454" spans="16:20" x14ac:dyDescent="0.25">
      <c r="P454" s="18"/>
      <c r="Q454" s="47"/>
      <c r="R454" s="46"/>
      <c r="S454" s="46"/>
      <c r="T454" s="18"/>
    </row>
    <row r="455" spans="16:20" x14ac:dyDescent="0.25">
      <c r="P455" s="18"/>
      <c r="Q455" s="47"/>
      <c r="R455" s="46"/>
      <c r="S455" s="46"/>
      <c r="T455" s="18"/>
    </row>
    <row r="456" spans="16:20" x14ac:dyDescent="0.25">
      <c r="P456" s="18"/>
      <c r="Q456" s="47"/>
      <c r="R456" s="46"/>
      <c r="S456" s="46"/>
      <c r="T456" s="18"/>
    </row>
    <row r="457" spans="16:20" x14ac:dyDescent="0.25">
      <c r="P457" s="18"/>
      <c r="Q457" s="47"/>
      <c r="R457" s="46"/>
      <c r="S457" s="46"/>
      <c r="T457" s="18"/>
    </row>
    <row r="458" spans="16:20" x14ac:dyDescent="0.25">
      <c r="P458" s="18"/>
      <c r="Q458" s="47"/>
      <c r="R458" s="46"/>
      <c r="S458" s="46"/>
      <c r="T458" s="18"/>
    </row>
    <row r="459" spans="16:20" x14ac:dyDescent="0.25">
      <c r="P459" s="18"/>
      <c r="Q459" s="47"/>
      <c r="R459" s="46"/>
      <c r="S459" s="46"/>
      <c r="T459" s="18"/>
    </row>
    <row r="460" spans="16:20" x14ac:dyDescent="0.25">
      <c r="P460" s="18"/>
      <c r="Q460" s="47"/>
      <c r="R460" s="46"/>
      <c r="S460" s="46"/>
      <c r="T460" s="18"/>
    </row>
    <row r="461" spans="16:20" x14ac:dyDescent="0.25">
      <c r="P461" s="18"/>
      <c r="Q461" s="47"/>
      <c r="R461" s="46"/>
      <c r="S461" s="46"/>
      <c r="T461" s="18"/>
    </row>
    <row r="462" spans="16:20" x14ac:dyDescent="0.25">
      <c r="P462" s="18"/>
      <c r="Q462" s="47"/>
      <c r="R462" s="46"/>
      <c r="S462" s="46"/>
      <c r="T462" s="18"/>
    </row>
    <row r="463" spans="16:20" x14ac:dyDescent="0.25">
      <c r="P463" s="18"/>
      <c r="Q463" s="47"/>
      <c r="R463" s="46"/>
      <c r="S463" s="46"/>
      <c r="T463" s="18"/>
    </row>
    <row r="464" spans="16:20" x14ac:dyDescent="0.25">
      <c r="P464" s="18"/>
      <c r="Q464" s="47"/>
      <c r="R464" s="46"/>
      <c r="S464" s="46"/>
      <c r="T464" s="18"/>
    </row>
    <row r="465" spans="16:20" x14ac:dyDescent="0.25">
      <c r="P465" s="18"/>
      <c r="Q465" s="47"/>
      <c r="R465" s="46"/>
      <c r="S465" s="46"/>
      <c r="T465" s="18"/>
    </row>
    <row r="466" spans="16:20" x14ac:dyDescent="0.25">
      <c r="P466" s="18"/>
      <c r="Q466" s="47"/>
      <c r="R466" s="46"/>
      <c r="S466" s="46"/>
      <c r="T466" s="18"/>
    </row>
    <row r="467" spans="16:20" x14ac:dyDescent="0.25">
      <c r="P467" s="18"/>
      <c r="Q467" s="47"/>
      <c r="R467" s="46"/>
      <c r="S467" s="46"/>
      <c r="T467" s="18"/>
    </row>
    <row r="468" spans="16:20" x14ac:dyDescent="0.25">
      <c r="P468" s="18"/>
      <c r="Q468" s="47"/>
      <c r="R468" s="46"/>
      <c r="S468" s="46"/>
      <c r="T468" s="18"/>
    </row>
    <row r="469" spans="16:20" x14ac:dyDescent="0.25">
      <c r="P469" s="18"/>
      <c r="Q469" s="47"/>
      <c r="R469" s="46"/>
      <c r="S469" s="46"/>
      <c r="T469" s="18"/>
    </row>
    <row r="470" spans="16:20" x14ac:dyDescent="0.25">
      <c r="P470" s="18"/>
      <c r="Q470" s="47"/>
      <c r="R470" s="46"/>
      <c r="S470" s="46"/>
      <c r="T470" s="18"/>
    </row>
    <row r="471" spans="16:20" x14ac:dyDescent="0.25">
      <c r="P471" s="18"/>
      <c r="Q471" s="47"/>
      <c r="R471" s="46"/>
      <c r="S471" s="46"/>
      <c r="T471" s="18"/>
    </row>
    <row r="472" spans="16:20" x14ac:dyDescent="0.25">
      <c r="P472" s="18"/>
      <c r="Q472" s="47"/>
      <c r="R472" s="46"/>
      <c r="S472" s="46"/>
      <c r="T472" s="18"/>
    </row>
    <row r="473" spans="16:20" x14ac:dyDescent="0.25">
      <c r="P473" s="18"/>
      <c r="Q473" s="47"/>
      <c r="R473" s="46"/>
      <c r="S473" s="46"/>
      <c r="T473" s="18"/>
    </row>
    <row r="474" spans="16:20" x14ac:dyDescent="0.25">
      <c r="P474" s="18"/>
      <c r="Q474" s="47"/>
      <c r="R474" s="46"/>
      <c r="S474" s="46"/>
      <c r="T474" s="18"/>
    </row>
    <row r="475" spans="16:20" x14ac:dyDescent="0.25">
      <c r="P475" s="18"/>
      <c r="Q475" s="47"/>
      <c r="R475" s="46"/>
      <c r="S475" s="46"/>
      <c r="T475" s="18"/>
    </row>
    <row r="476" spans="16:20" x14ac:dyDescent="0.25">
      <c r="P476" s="18"/>
      <c r="Q476" s="47"/>
      <c r="R476" s="46"/>
      <c r="S476" s="46"/>
      <c r="T476" s="18"/>
    </row>
    <row r="477" spans="16:20" x14ac:dyDescent="0.25">
      <c r="P477" s="18"/>
      <c r="Q477" s="47"/>
      <c r="R477" s="46"/>
      <c r="S477" s="46"/>
      <c r="T477" s="18"/>
    </row>
    <row r="478" spans="16:20" x14ac:dyDescent="0.25">
      <c r="P478" s="18"/>
      <c r="Q478" s="47"/>
      <c r="R478" s="46"/>
      <c r="S478" s="46"/>
      <c r="T478" s="18"/>
    </row>
    <row r="479" spans="16:20" x14ac:dyDescent="0.25">
      <c r="P479" s="18"/>
      <c r="Q479" s="47"/>
      <c r="R479" s="46"/>
      <c r="S479" s="46"/>
      <c r="T479" s="18"/>
    </row>
    <row r="480" spans="16:20" x14ac:dyDescent="0.25">
      <c r="P480" s="18"/>
      <c r="Q480" s="47"/>
      <c r="R480" s="46"/>
      <c r="S480" s="46"/>
      <c r="T480" s="18"/>
    </row>
    <row r="481" spans="16:20" x14ac:dyDescent="0.25">
      <c r="P481" s="18"/>
      <c r="Q481" s="47"/>
      <c r="R481" s="46"/>
      <c r="S481" s="46"/>
      <c r="T481" s="18"/>
    </row>
    <row r="482" spans="16:20" x14ac:dyDescent="0.25">
      <c r="P482" s="18"/>
      <c r="Q482" s="47"/>
      <c r="R482" s="46"/>
      <c r="S482" s="46"/>
      <c r="T482" s="18"/>
    </row>
    <row r="483" spans="16:20" x14ac:dyDescent="0.25">
      <c r="P483" s="18"/>
      <c r="Q483" s="47"/>
      <c r="R483" s="46"/>
      <c r="S483" s="46"/>
      <c r="T483" s="18"/>
    </row>
    <row r="484" spans="16:20" x14ac:dyDescent="0.25">
      <c r="P484" s="18"/>
      <c r="Q484" s="47"/>
      <c r="R484" s="46"/>
      <c r="S484" s="46"/>
      <c r="T484" s="18"/>
    </row>
    <row r="485" spans="16:20" x14ac:dyDescent="0.25">
      <c r="P485" s="18"/>
      <c r="Q485" s="47"/>
      <c r="R485" s="46"/>
      <c r="S485" s="46"/>
      <c r="T485" s="18"/>
    </row>
    <row r="486" spans="16:20" x14ac:dyDescent="0.25">
      <c r="P486" s="18"/>
      <c r="Q486" s="47"/>
      <c r="R486" s="46"/>
      <c r="S486" s="46"/>
      <c r="T486" s="18"/>
    </row>
    <row r="487" spans="16:20" x14ac:dyDescent="0.25">
      <c r="P487" s="18"/>
      <c r="Q487" s="47"/>
      <c r="R487" s="46"/>
      <c r="S487" s="46"/>
      <c r="T487" s="18"/>
    </row>
    <row r="488" spans="16:20" x14ac:dyDescent="0.25">
      <c r="P488" s="18"/>
      <c r="Q488" s="47"/>
      <c r="R488" s="46"/>
      <c r="S488" s="46"/>
      <c r="T488" s="18"/>
    </row>
    <row r="489" spans="16:20" x14ac:dyDescent="0.25">
      <c r="P489" s="18"/>
      <c r="Q489" s="47"/>
      <c r="R489" s="46"/>
      <c r="S489" s="46"/>
      <c r="T489" s="18"/>
    </row>
    <row r="490" spans="16:20" x14ac:dyDescent="0.25">
      <c r="P490" s="18"/>
      <c r="Q490" s="47"/>
      <c r="R490" s="46"/>
      <c r="S490" s="46"/>
      <c r="T490" s="18"/>
    </row>
    <row r="491" spans="16:20" x14ac:dyDescent="0.25">
      <c r="P491" s="18"/>
      <c r="Q491" s="47"/>
      <c r="R491" s="46"/>
      <c r="S491" s="46"/>
      <c r="T491" s="18"/>
    </row>
    <row r="492" spans="16:20" x14ac:dyDescent="0.25">
      <c r="P492" s="18"/>
      <c r="Q492" s="47"/>
      <c r="R492" s="46"/>
      <c r="S492" s="46"/>
      <c r="T492" s="18"/>
    </row>
    <row r="493" spans="16:20" x14ac:dyDescent="0.25">
      <c r="P493" s="18"/>
      <c r="Q493" s="47"/>
      <c r="R493" s="46"/>
      <c r="S493" s="46"/>
      <c r="T493" s="18"/>
    </row>
    <row r="494" spans="16:20" x14ac:dyDescent="0.25">
      <c r="P494" s="18"/>
      <c r="Q494" s="47"/>
      <c r="R494" s="46"/>
      <c r="S494" s="46"/>
      <c r="T494" s="18"/>
    </row>
    <row r="495" spans="16:20" x14ac:dyDescent="0.25">
      <c r="P495" s="18"/>
      <c r="Q495" s="47"/>
      <c r="R495" s="46"/>
      <c r="S495" s="46"/>
      <c r="T495" s="18"/>
    </row>
    <row r="496" spans="16:20" x14ac:dyDescent="0.25">
      <c r="P496" s="18"/>
      <c r="Q496" s="47"/>
      <c r="R496" s="46"/>
      <c r="S496" s="46"/>
      <c r="T496" s="18"/>
    </row>
    <row r="497" spans="16:20" x14ac:dyDescent="0.25">
      <c r="P497" s="18"/>
      <c r="Q497" s="47"/>
      <c r="R497" s="46"/>
      <c r="S497" s="46"/>
      <c r="T497" s="18"/>
    </row>
    <row r="498" spans="16:20" x14ac:dyDescent="0.25">
      <c r="P498" s="18"/>
      <c r="Q498" s="47"/>
      <c r="R498" s="46"/>
      <c r="S498" s="46"/>
      <c r="T498" s="18"/>
    </row>
    <row r="499" spans="16:20" x14ac:dyDescent="0.25">
      <c r="P499" s="18"/>
      <c r="Q499" s="47"/>
      <c r="R499" s="46"/>
      <c r="S499" s="46"/>
      <c r="T499" s="18"/>
    </row>
    <row r="500" spans="16:20" x14ac:dyDescent="0.25">
      <c r="P500" s="18"/>
      <c r="Q500" s="47"/>
      <c r="R500" s="46"/>
      <c r="S500" s="46"/>
      <c r="T500" s="18"/>
    </row>
    <row r="501" spans="16:20" x14ac:dyDescent="0.25">
      <c r="P501" s="18"/>
      <c r="Q501" s="47"/>
      <c r="R501" s="46"/>
      <c r="S501" s="46"/>
      <c r="T501" s="18"/>
    </row>
    <row r="502" spans="16:20" x14ac:dyDescent="0.25">
      <c r="P502" s="18"/>
      <c r="Q502" s="47"/>
      <c r="R502" s="46"/>
      <c r="S502" s="46"/>
      <c r="T502" s="18"/>
    </row>
    <row r="503" spans="16:20" x14ac:dyDescent="0.25">
      <c r="P503" s="18"/>
      <c r="Q503" s="47"/>
      <c r="R503" s="46"/>
      <c r="S503" s="46"/>
      <c r="T503" s="18"/>
    </row>
    <row r="504" spans="16:20" x14ac:dyDescent="0.25">
      <c r="P504" s="18"/>
      <c r="Q504" s="47"/>
      <c r="R504" s="46"/>
      <c r="S504" s="46"/>
      <c r="T504" s="18"/>
    </row>
    <row r="505" spans="16:20" x14ac:dyDescent="0.25">
      <c r="P505" s="18"/>
      <c r="Q505" s="47"/>
      <c r="R505" s="46"/>
      <c r="S505" s="46"/>
      <c r="T505" s="18"/>
    </row>
    <row r="506" spans="16:20" x14ac:dyDescent="0.25">
      <c r="P506" s="18"/>
      <c r="Q506" s="47"/>
      <c r="R506" s="46"/>
      <c r="S506" s="46"/>
      <c r="T506" s="18"/>
    </row>
    <row r="507" spans="16:20" x14ac:dyDescent="0.25">
      <c r="P507" s="18"/>
      <c r="Q507" s="47"/>
      <c r="R507" s="46"/>
      <c r="S507" s="46"/>
      <c r="T507" s="18"/>
    </row>
    <row r="508" spans="16:20" x14ac:dyDescent="0.25">
      <c r="P508" s="18"/>
      <c r="Q508" s="47"/>
      <c r="R508" s="46"/>
      <c r="S508" s="46"/>
      <c r="T508" s="18"/>
    </row>
    <row r="509" spans="16:20" x14ac:dyDescent="0.25">
      <c r="P509" s="18"/>
      <c r="Q509" s="47"/>
      <c r="R509" s="46"/>
      <c r="S509" s="46"/>
      <c r="T509" s="18"/>
    </row>
    <row r="510" spans="16:20" x14ac:dyDescent="0.25">
      <c r="P510" s="18"/>
      <c r="Q510" s="47"/>
      <c r="R510" s="46"/>
      <c r="S510" s="46"/>
      <c r="T510" s="18"/>
    </row>
    <row r="511" spans="16:20" x14ac:dyDescent="0.25">
      <c r="P511" s="18"/>
      <c r="Q511" s="47"/>
      <c r="R511" s="46"/>
      <c r="S511" s="46"/>
      <c r="T511" s="18"/>
    </row>
    <row r="512" spans="16:20" x14ac:dyDescent="0.25">
      <c r="P512" s="18"/>
      <c r="Q512" s="47"/>
      <c r="R512" s="46"/>
      <c r="S512" s="46"/>
      <c r="T512" s="18"/>
    </row>
    <row r="513" spans="16:20" x14ac:dyDescent="0.25">
      <c r="P513" s="18"/>
      <c r="Q513" s="47"/>
      <c r="R513" s="46"/>
      <c r="S513" s="46"/>
      <c r="T513" s="18"/>
    </row>
    <row r="514" spans="16:20" x14ac:dyDescent="0.25">
      <c r="P514" s="18"/>
      <c r="Q514" s="47"/>
      <c r="R514" s="46"/>
      <c r="S514" s="46"/>
      <c r="T514" s="18"/>
    </row>
    <row r="515" spans="16:20" x14ac:dyDescent="0.25">
      <c r="P515" s="18"/>
      <c r="Q515" s="47"/>
      <c r="R515" s="46"/>
      <c r="S515" s="46"/>
      <c r="T515" s="18"/>
    </row>
    <row r="516" spans="16:20" x14ac:dyDescent="0.25">
      <c r="P516" s="18"/>
      <c r="Q516" s="47"/>
      <c r="R516" s="46"/>
      <c r="S516" s="46"/>
      <c r="T516" s="18"/>
    </row>
    <row r="517" spans="16:20" x14ac:dyDescent="0.25">
      <c r="P517" s="18"/>
      <c r="Q517" s="47"/>
      <c r="R517" s="46"/>
      <c r="S517" s="46"/>
      <c r="T517" s="18"/>
    </row>
    <row r="518" spans="16:20" x14ac:dyDescent="0.25">
      <c r="P518" s="18"/>
      <c r="Q518" s="47"/>
      <c r="R518" s="46"/>
      <c r="S518" s="46"/>
      <c r="T518" s="18"/>
    </row>
    <row r="519" spans="16:20" x14ac:dyDescent="0.25">
      <c r="P519" s="18"/>
      <c r="Q519" s="47"/>
      <c r="R519" s="46"/>
      <c r="S519" s="46"/>
      <c r="T519" s="18"/>
    </row>
    <row r="520" spans="16:20" x14ac:dyDescent="0.25">
      <c r="P520" s="18"/>
      <c r="Q520" s="47"/>
      <c r="R520" s="46"/>
      <c r="S520" s="46"/>
      <c r="T520" s="18"/>
    </row>
    <row r="521" spans="16:20" x14ac:dyDescent="0.25">
      <c r="P521" s="18"/>
      <c r="Q521" s="47"/>
      <c r="R521" s="46"/>
      <c r="S521" s="46"/>
      <c r="T521" s="18"/>
    </row>
    <row r="522" spans="16:20" x14ac:dyDescent="0.25">
      <c r="P522" s="18"/>
      <c r="Q522" s="47"/>
      <c r="R522" s="46"/>
      <c r="S522" s="46"/>
      <c r="T522" s="18"/>
    </row>
    <row r="523" spans="16:20" x14ac:dyDescent="0.25">
      <c r="P523" s="18"/>
      <c r="Q523" s="47"/>
      <c r="R523" s="46"/>
      <c r="S523" s="46"/>
      <c r="T523" s="18"/>
    </row>
    <row r="524" spans="16:20" x14ac:dyDescent="0.25">
      <c r="P524" s="18"/>
      <c r="Q524" s="47"/>
      <c r="R524" s="46"/>
      <c r="S524" s="46"/>
      <c r="T524" s="18"/>
    </row>
    <row r="525" spans="16:20" x14ac:dyDescent="0.25">
      <c r="P525" s="18"/>
      <c r="Q525" s="47"/>
      <c r="R525" s="46"/>
      <c r="S525" s="46"/>
      <c r="T525" s="18"/>
    </row>
    <row r="526" spans="16:20" x14ac:dyDescent="0.25">
      <c r="P526" s="18"/>
      <c r="Q526" s="47"/>
      <c r="R526" s="46"/>
      <c r="S526" s="46"/>
      <c r="T526" s="18"/>
    </row>
    <row r="527" spans="16:20" x14ac:dyDescent="0.25">
      <c r="P527" s="18"/>
      <c r="Q527" s="47"/>
      <c r="R527" s="46"/>
      <c r="S527" s="46"/>
      <c r="T527" s="18"/>
    </row>
    <row r="528" spans="16:20" x14ac:dyDescent="0.25">
      <c r="P528" s="18"/>
      <c r="Q528" s="47"/>
      <c r="R528" s="46"/>
      <c r="S528" s="46"/>
      <c r="T528" s="18"/>
    </row>
    <row r="529" spans="16:20" x14ac:dyDescent="0.25">
      <c r="P529" s="18"/>
      <c r="Q529" s="47"/>
      <c r="R529" s="46"/>
      <c r="S529" s="46"/>
      <c r="T529" s="18"/>
    </row>
    <row r="530" spans="16:20" x14ac:dyDescent="0.25">
      <c r="P530" s="18"/>
      <c r="Q530" s="47"/>
      <c r="R530" s="46"/>
      <c r="S530" s="46"/>
      <c r="T530" s="18"/>
    </row>
    <row r="531" spans="16:20" x14ac:dyDescent="0.25">
      <c r="P531" s="18"/>
      <c r="Q531" s="47"/>
      <c r="R531" s="46"/>
      <c r="S531" s="46"/>
      <c r="T531" s="18"/>
    </row>
    <row r="532" spans="16:20" x14ac:dyDescent="0.25">
      <c r="P532" s="18"/>
      <c r="Q532" s="47"/>
      <c r="R532" s="46"/>
      <c r="S532" s="46"/>
      <c r="T532" s="18"/>
    </row>
    <row r="533" spans="16:20" x14ac:dyDescent="0.25">
      <c r="P533" s="18"/>
      <c r="Q533" s="47"/>
      <c r="R533" s="46"/>
      <c r="S533" s="46"/>
      <c r="T533" s="18"/>
    </row>
    <row r="534" spans="16:20" x14ac:dyDescent="0.25">
      <c r="P534" s="18"/>
      <c r="Q534" s="47"/>
      <c r="R534" s="46"/>
      <c r="S534" s="46"/>
      <c r="T534" s="18"/>
    </row>
    <row r="535" spans="16:20" x14ac:dyDescent="0.25">
      <c r="P535" s="18"/>
      <c r="Q535" s="47"/>
      <c r="R535" s="46"/>
      <c r="S535" s="46"/>
      <c r="T535" s="18"/>
    </row>
    <row r="536" spans="16:20" x14ac:dyDescent="0.25">
      <c r="P536" s="18"/>
      <c r="Q536" s="47"/>
      <c r="R536" s="46"/>
      <c r="S536" s="46"/>
      <c r="T536" s="18"/>
    </row>
    <row r="537" spans="16:20" x14ac:dyDescent="0.25">
      <c r="P537" s="18"/>
      <c r="Q537" s="47"/>
      <c r="R537" s="46"/>
      <c r="S537" s="46"/>
      <c r="T537" s="18"/>
    </row>
    <row r="538" spans="16:20" x14ac:dyDescent="0.25">
      <c r="P538" s="18"/>
      <c r="Q538" s="47"/>
      <c r="R538" s="46"/>
      <c r="S538" s="46"/>
      <c r="T538" s="18"/>
    </row>
    <row r="539" spans="16:20" x14ac:dyDescent="0.25">
      <c r="P539" s="18"/>
      <c r="Q539" s="47"/>
      <c r="R539" s="46"/>
      <c r="S539" s="46"/>
      <c r="T539" s="18"/>
    </row>
    <row r="540" spans="16:20" x14ac:dyDescent="0.25">
      <c r="P540" s="18"/>
      <c r="Q540" s="47"/>
      <c r="R540" s="46"/>
      <c r="S540" s="46"/>
      <c r="T540" s="18"/>
    </row>
    <row r="541" spans="16:20" x14ac:dyDescent="0.25">
      <c r="P541" s="18"/>
      <c r="Q541" s="47"/>
      <c r="R541" s="46"/>
      <c r="S541" s="46"/>
      <c r="T541" s="18"/>
    </row>
    <row r="542" spans="16:20" x14ac:dyDescent="0.25">
      <c r="P542" s="18"/>
      <c r="Q542" s="47"/>
      <c r="R542" s="46"/>
      <c r="S542" s="46"/>
      <c r="T542" s="18"/>
    </row>
    <row r="543" spans="16:20" x14ac:dyDescent="0.25">
      <c r="P543" s="18"/>
      <c r="Q543" s="47"/>
      <c r="R543" s="46"/>
      <c r="S543" s="46"/>
      <c r="T543" s="18"/>
    </row>
    <row r="544" spans="16:20" x14ac:dyDescent="0.25">
      <c r="P544" s="18"/>
      <c r="Q544" s="47"/>
      <c r="R544" s="46"/>
      <c r="S544" s="46"/>
      <c r="T544" s="18"/>
    </row>
    <row r="545" spans="16:20" x14ac:dyDescent="0.25">
      <c r="P545" s="18"/>
      <c r="Q545" s="47"/>
      <c r="R545" s="46"/>
      <c r="S545" s="46"/>
      <c r="T545" s="18"/>
    </row>
    <row r="546" spans="16:20" x14ac:dyDescent="0.25">
      <c r="P546" s="18"/>
      <c r="Q546" s="47"/>
      <c r="R546" s="46"/>
      <c r="S546" s="46"/>
      <c r="T546" s="18"/>
    </row>
    <row r="547" spans="16:20" x14ac:dyDescent="0.25">
      <c r="P547" s="18"/>
      <c r="Q547" s="47"/>
      <c r="R547" s="46"/>
      <c r="S547" s="46"/>
      <c r="T547" s="18"/>
    </row>
    <row r="548" spans="16:20" x14ac:dyDescent="0.25">
      <c r="P548" s="18"/>
      <c r="Q548" s="47"/>
      <c r="R548" s="46"/>
      <c r="S548" s="46"/>
      <c r="T548" s="18"/>
    </row>
    <row r="549" spans="16:20" x14ac:dyDescent="0.25">
      <c r="P549" s="18"/>
      <c r="Q549" s="47"/>
      <c r="R549" s="46"/>
      <c r="S549" s="46"/>
      <c r="T549" s="18"/>
    </row>
    <row r="550" spans="16:20" x14ac:dyDescent="0.25">
      <c r="P550" s="18"/>
      <c r="Q550" s="47"/>
      <c r="R550" s="46"/>
      <c r="S550" s="46"/>
      <c r="T550" s="18"/>
    </row>
    <row r="551" spans="16:20" x14ac:dyDescent="0.25">
      <c r="P551" s="18"/>
      <c r="Q551" s="47"/>
      <c r="R551" s="46"/>
      <c r="S551" s="46"/>
      <c r="T551" s="18"/>
    </row>
    <row r="552" spans="16:20" x14ac:dyDescent="0.25">
      <c r="P552" s="18"/>
      <c r="Q552" s="47"/>
      <c r="R552" s="46"/>
      <c r="S552" s="46"/>
      <c r="T552" s="18"/>
    </row>
    <row r="553" spans="16:20" x14ac:dyDescent="0.25">
      <c r="P553" s="18"/>
      <c r="Q553" s="47"/>
      <c r="R553" s="46"/>
      <c r="S553" s="46"/>
      <c r="T553" s="18"/>
    </row>
    <row r="554" spans="16:20" x14ac:dyDescent="0.25">
      <c r="P554" s="18"/>
      <c r="Q554" s="47"/>
      <c r="R554" s="46"/>
      <c r="S554" s="46"/>
      <c r="T554" s="18"/>
    </row>
    <row r="555" spans="16:20" x14ac:dyDescent="0.25">
      <c r="P555" s="18"/>
      <c r="Q555" s="47"/>
      <c r="R555" s="46"/>
      <c r="S555" s="46"/>
      <c r="T555" s="18"/>
    </row>
    <row r="556" spans="16:20" x14ac:dyDescent="0.25">
      <c r="P556" s="18"/>
      <c r="Q556" s="47"/>
      <c r="R556" s="46"/>
      <c r="S556" s="46"/>
      <c r="T556" s="18"/>
    </row>
    <row r="557" spans="16:20" x14ac:dyDescent="0.25">
      <c r="P557" s="18"/>
      <c r="Q557" s="47"/>
      <c r="R557" s="46"/>
      <c r="S557" s="46"/>
      <c r="T557" s="18"/>
    </row>
    <row r="558" spans="16:20" x14ac:dyDescent="0.25">
      <c r="P558" s="18"/>
      <c r="Q558" s="47"/>
      <c r="R558" s="46"/>
      <c r="S558" s="46"/>
      <c r="T558" s="18"/>
    </row>
    <row r="559" spans="16:20" x14ac:dyDescent="0.25">
      <c r="P559" s="18"/>
      <c r="Q559" s="47"/>
      <c r="R559" s="46"/>
      <c r="S559" s="46"/>
      <c r="T559" s="18"/>
    </row>
    <row r="560" spans="16:20" x14ac:dyDescent="0.25">
      <c r="P560" s="18"/>
      <c r="Q560" s="47"/>
      <c r="R560" s="46"/>
      <c r="S560" s="46"/>
      <c r="T560" s="18"/>
    </row>
    <row r="561" spans="16:20" x14ac:dyDescent="0.25">
      <c r="P561" s="18"/>
      <c r="Q561" s="47"/>
      <c r="R561" s="46"/>
      <c r="S561" s="46"/>
      <c r="T561" s="18"/>
    </row>
    <row r="562" spans="16:20" x14ac:dyDescent="0.25">
      <c r="P562" s="18"/>
      <c r="Q562" s="47"/>
      <c r="R562" s="46"/>
      <c r="S562" s="46"/>
      <c r="T562" s="18"/>
    </row>
    <row r="563" spans="16:20" x14ac:dyDescent="0.25">
      <c r="P563" s="18"/>
      <c r="Q563" s="47"/>
      <c r="R563" s="46"/>
      <c r="S563" s="46"/>
      <c r="T563" s="18"/>
    </row>
    <row r="564" spans="16:20" x14ac:dyDescent="0.25">
      <c r="P564" s="18"/>
      <c r="Q564" s="47"/>
      <c r="R564" s="46"/>
      <c r="S564" s="46"/>
      <c r="T564" s="18"/>
    </row>
    <row r="565" spans="16:20" x14ac:dyDescent="0.25">
      <c r="P565" s="18"/>
      <c r="Q565" s="47"/>
      <c r="R565" s="46"/>
      <c r="S565" s="46"/>
      <c r="T565" s="18"/>
    </row>
    <row r="566" spans="16:20" x14ac:dyDescent="0.25">
      <c r="P566" s="18"/>
      <c r="Q566" s="47"/>
      <c r="R566" s="46"/>
      <c r="S566" s="46"/>
      <c r="T566" s="18"/>
    </row>
    <row r="567" spans="16:20" x14ac:dyDescent="0.25">
      <c r="P567" s="18"/>
      <c r="Q567" s="47"/>
      <c r="R567" s="46"/>
      <c r="S567" s="46"/>
      <c r="T567" s="18"/>
    </row>
    <row r="568" spans="16:20" x14ac:dyDescent="0.25">
      <c r="P568" s="18"/>
      <c r="Q568" s="47"/>
      <c r="R568" s="46"/>
      <c r="S568" s="46"/>
      <c r="T568" s="18"/>
    </row>
    <row r="569" spans="16:20" x14ac:dyDescent="0.25">
      <c r="P569" s="18"/>
      <c r="Q569" s="47"/>
      <c r="R569" s="46"/>
      <c r="S569" s="46"/>
      <c r="T569" s="18"/>
    </row>
    <row r="570" spans="16:20" x14ac:dyDescent="0.25">
      <c r="P570" s="18"/>
      <c r="Q570" s="47"/>
      <c r="R570" s="46"/>
      <c r="S570" s="46"/>
      <c r="T570" s="18"/>
    </row>
    <row r="571" spans="16:20" x14ac:dyDescent="0.25">
      <c r="P571" s="18"/>
      <c r="Q571" s="47"/>
      <c r="R571" s="46"/>
      <c r="S571" s="46"/>
      <c r="T571" s="18"/>
    </row>
    <row r="572" spans="16:20" x14ac:dyDescent="0.25">
      <c r="P572" s="18"/>
      <c r="Q572" s="47"/>
      <c r="R572" s="46"/>
      <c r="S572" s="46"/>
      <c r="T572" s="18"/>
    </row>
    <row r="573" spans="16:20" x14ac:dyDescent="0.25">
      <c r="P573" s="18"/>
      <c r="Q573" s="47"/>
      <c r="R573" s="46"/>
      <c r="S573" s="46"/>
      <c r="T573" s="18"/>
    </row>
    <row r="574" spans="16:20" x14ac:dyDescent="0.25">
      <c r="P574" s="18"/>
      <c r="Q574" s="47"/>
      <c r="R574" s="46"/>
      <c r="S574" s="46"/>
      <c r="T574" s="18"/>
    </row>
    <row r="575" spans="16:20" x14ac:dyDescent="0.25">
      <c r="P575" s="18"/>
      <c r="Q575" s="47"/>
      <c r="R575" s="46"/>
      <c r="S575" s="46"/>
      <c r="T575" s="18"/>
    </row>
    <row r="576" spans="16:20" x14ac:dyDescent="0.25">
      <c r="P576" s="18"/>
      <c r="Q576" s="47"/>
      <c r="R576" s="46"/>
      <c r="S576" s="46"/>
      <c r="T576" s="18"/>
    </row>
    <row r="577" spans="16:20" x14ac:dyDescent="0.25">
      <c r="P577" s="18"/>
      <c r="Q577" s="47"/>
      <c r="R577" s="46"/>
      <c r="S577" s="46"/>
      <c r="T577" s="18"/>
    </row>
    <row r="578" spans="16:20" x14ac:dyDescent="0.25">
      <c r="P578" s="18"/>
      <c r="Q578" s="47"/>
      <c r="R578" s="46"/>
      <c r="S578" s="46"/>
      <c r="T578" s="18"/>
    </row>
    <row r="579" spans="16:20" x14ac:dyDescent="0.25">
      <c r="P579" s="18"/>
      <c r="Q579" s="47"/>
      <c r="R579" s="46"/>
      <c r="S579" s="46"/>
      <c r="T579" s="18"/>
    </row>
    <row r="580" spans="16:20" x14ac:dyDescent="0.25">
      <c r="P580" s="18"/>
      <c r="Q580" s="47"/>
      <c r="R580" s="46"/>
      <c r="S580" s="46"/>
      <c r="T580" s="18"/>
    </row>
    <row r="581" spans="16:20" x14ac:dyDescent="0.25">
      <c r="P581" s="18"/>
      <c r="Q581" s="47"/>
      <c r="R581" s="46"/>
      <c r="S581" s="46"/>
      <c r="T581" s="18"/>
    </row>
    <row r="582" spans="16:20" x14ac:dyDescent="0.25">
      <c r="P582" s="18"/>
      <c r="Q582" s="47"/>
      <c r="R582" s="46"/>
      <c r="S582" s="46"/>
      <c r="T582" s="18"/>
    </row>
    <row r="583" spans="16:20" x14ac:dyDescent="0.25">
      <c r="P583" s="18"/>
      <c r="Q583" s="47"/>
      <c r="R583" s="46"/>
      <c r="S583" s="46"/>
      <c r="T583" s="18"/>
    </row>
    <row r="584" spans="16:20" x14ac:dyDescent="0.25">
      <c r="P584" s="18"/>
      <c r="Q584" s="47"/>
      <c r="R584" s="46"/>
      <c r="S584" s="46"/>
      <c r="T584" s="18"/>
    </row>
    <row r="585" spans="16:20" x14ac:dyDescent="0.25">
      <c r="P585" s="18"/>
      <c r="Q585" s="47"/>
      <c r="R585" s="46"/>
      <c r="S585" s="46"/>
      <c r="T585" s="18"/>
    </row>
    <row r="586" spans="16:20" x14ac:dyDescent="0.25">
      <c r="P586" s="18"/>
      <c r="Q586" s="47"/>
      <c r="R586" s="46"/>
      <c r="S586" s="46"/>
      <c r="T586" s="18"/>
    </row>
    <row r="587" spans="16:20" x14ac:dyDescent="0.25">
      <c r="P587" s="18"/>
      <c r="Q587" s="47"/>
      <c r="R587" s="46"/>
      <c r="S587" s="46"/>
      <c r="T587" s="18"/>
    </row>
    <row r="588" spans="16:20" x14ac:dyDescent="0.25">
      <c r="P588" s="18"/>
      <c r="Q588" s="47"/>
      <c r="R588" s="46"/>
      <c r="S588" s="46"/>
      <c r="T588" s="18"/>
    </row>
    <row r="589" spans="16:20" x14ac:dyDescent="0.25">
      <c r="P589" s="18"/>
      <c r="Q589" s="47"/>
      <c r="R589" s="46"/>
      <c r="S589" s="46"/>
      <c r="T589" s="18"/>
    </row>
    <row r="590" spans="16:20" x14ac:dyDescent="0.25">
      <c r="P590" s="18"/>
      <c r="Q590" s="47"/>
      <c r="R590" s="46"/>
      <c r="S590" s="46"/>
      <c r="T590" s="18"/>
    </row>
    <row r="591" spans="16:20" x14ac:dyDescent="0.25">
      <c r="P591" s="18"/>
      <c r="Q591" s="47"/>
      <c r="R591" s="46"/>
      <c r="S591" s="46"/>
      <c r="T591" s="18"/>
    </row>
    <row r="592" spans="16:20" x14ac:dyDescent="0.25">
      <c r="P592" s="18"/>
      <c r="Q592" s="47"/>
      <c r="R592" s="46"/>
      <c r="S592" s="46"/>
      <c r="T592" s="18"/>
    </row>
    <row r="593" spans="16:20" x14ac:dyDescent="0.25">
      <c r="P593" s="18"/>
      <c r="Q593" s="47"/>
      <c r="R593" s="46"/>
      <c r="S593" s="46"/>
      <c r="T593" s="18"/>
    </row>
    <row r="594" spans="16:20" x14ac:dyDescent="0.25">
      <c r="P594" s="18"/>
      <c r="Q594" s="47"/>
      <c r="R594" s="46"/>
      <c r="S594" s="46"/>
      <c r="T594" s="18"/>
    </row>
    <row r="595" spans="16:20" x14ac:dyDescent="0.25">
      <c r="P595" s="18"/>
      <c r="Q595" s="47"/>
      <c r="R595" s="46"/>
      <c r="S595" s="46"/>
      <c r="T595" s="18"/>
    </row>
    <row r="596" spans="16:20" x14ac:dyDescent="0.25">
      <c r="P596" s="18"/>
      <c r="Q596" s="47"/>
      <c r="R596" s="46"/>
      <c r="S596" s="46"/>
      <c r="T596" s="18"/>
    </row>
    <row r="597" spans="16:20" x14ac:dyDescent="0.25">
      <c r="P597" s="18"/>
      <c r="Q597" s="47"/>
      <c r="R597" s="46"/>
      <c r="S597" s="46"/>
      <c r="T597" s="18"/>
    </row>
    <row r="598" spans="16:20" x14ac:dyDescent="0.25">
      <c r="P598" s="18"/>
      <c r="Q598" s="47"/>
      <c r="R598" s="46"/>
      <c r="S598" s="46"/>
      <c r="T598" s="18"/>
    </row>
    <row r="599" spans="16:20" x14ac:dyDescent="0.25">
      <c r="P599" s="18"/>
      <c r="Q599" s="47"/>
      <c r="R599" s="46"/>
      <c r="S599" s="46"/>
      <c r="T599" s="18"/>
    </row>
    <row r="600" spans="16:20" x14ac:dyDescent="0.25">
      <c r="P600" s="18"/>
      <c r="Q600" s="47"/>
      <c r="R600" s="46"/>
      <c r="S600" s="46"/>
      <c r="T600" s="18"/>
    </row>
    <row r="601" spans="16:20" x14ac:dyDescent="0.25">
      <c r="P601" s="18"/>
      <c r="Q601" s="47"/>
      <c r="R601" s="46"/>
      <c r="S601" s="46"/>
      <c r="T601" s="18"/>
    </row>
    <row r="602" spans="16:20" x14ac:dyDescent="0.25">
      <c r="P602" s="18"/>
      <c r="Q602" s="47"/>
      <c r="R602" s="46"/>
      <c r="S602" s="46"/>
      <c r="T602" s="18"/>
    </row>
    <row r="603" spans="16:20" x14ac:dyDescent="0.25">
      <c r="P603" s="18"/>
      <c r="Q603" s="47"/>
      <c r="R603" s="46"/>
      <c r="S603" s="46"/>
      <c r="T603" s="18"/>
    </row>
    <row r="604" spans="16:20" x14ac:dyDescent="0.25">
      <c r="P604" s="18"/>
      <c r="Q604" s="47"/>
      <c r="R604" s="46"/>
      <c r="S604" s="46"/>
      <c r="T604" s="18"/>
    </row>
    <row r="605" spans="16:20" x14ac:dyDescent="0.25">
      <c r="P605" s="18"/>
      <c r="Q605" s="47"/>
      <c r="R605" s="46"/>
      <c r="S605" s="46"/>
      <c r="T605" s="18"/>
    </row>
    <row r="606" spans="16:20" x14ac:dyDescent="0.25">
      <c r="P606" s="18"/>
      <c r="Q606" s="47"/>
      <c r="R606" s="46"/>
      <c r="S606" s="46"/>
      <c r="T606" s="18"/>
    </row>
    <row r="607" spans="16:20" x14ac:dyDescent="0.25">
      <c r="P607" s="18"/>
      <c r="Q607" s="47"/>
      <c r="R607" s="46"/>
      <c r="S607" s="46"/>
      <c r="T607" s="18"/>
    </row>
    <row r="608" spans="16:20" x14ac:dyDescent="0.25">
      <c r="P608" s="18"/>
      <c r="Q608" s="47"/>
      <c r="R608" s="46"/>
      <c r="S608" s="46"/>
      <c r="T608" s="18"/>
    </row>
    <row r="609" spans="16:20" x14ac:dyDescent="0.25">
      <c r="P609" s="18"/>
      <c r="Q609" s="47"/>
      <c r="R609" s="46"/>
      <c r="S609" s="46"/>
      <c r="T609" s="18"/>
    </row>
    <row r="610" spans="16:20" x14ac:dyDescent="0.25">
      <c r="P610" s="18"/>
      <c r="Q610" s="47"/>
      <c r="R610" s="46"/>
      <c r="S610" s="46"/>
      <c r="T610" s="18"/>
    </row>
    <row r="611" spans="16:20" x14ac:dyDescent="0.25">
      <c r="P611" s="18"/>
      <c r="Q611" s="47"/>
      <c r="R611" s="46"/>
      <c r="S611" s="46"/>
      <c r="T611" s="18"/>
    </row>
    <row r="612" spans="16:20" x14ac:dyDescent="0.25">
      <c r="P612" s="18"/>
      <c r="Q612" s="47"/>
      <c r="R612" s="46"/>
      <c r="S612" s="46"/>
      <c r="T612" s="18"/>
    </row>
    <row r="613" spans="16:20" x14ac:dyDescent="0.25">
      <c r="P613" s="18"/>
      <c r="Q613" s="47"/>
      <c r="R613" s="46"/>
      <c r="S613" s="46"/>
      <c r="T613" s="18"/>
    </row>
    <row r="614" spans="16:20" x14ac:dyDescent="0.25">
      <c r="P614" s="18"/>
      <c r="Q614" s="47"/>
      <c r="R614" s="46"/>
      <c r="S614" s="46"/>
      <c r="T614" s="18"/>
    </row>
    <row r="615" spans="16:20" x14ac:dyDescent="0.25">
      <c r="P615" s="18"/>
      <c r="Q615" s="47"/>
      <c r="R615" s="46"/>
      <c r="S615" s="46"/>
      <c r="T615" s="18"/>
    </row>
    <row r="616" spans="16:20" x14ac:dyDescent="0.25">
      <c r="P616" s="18"/>
      <c r="Q616" s="47"/>
      <c r="R616" s="46"/>
      <c r="S616" s="46"/>
      <c r="T616" s="18"/>
    </row>
    <row r="617" spans="16:20" x14ac:dyDescent="0.25">
      <c r="P617" s="18"/>
      <c r="Q617" s="47"/>
      <c r="R617" s="46"/>
      <c r="S617" s="46"/>
      <c r="T617" s="18"/>
    </row>
    <row r="618" spans="16:20" x14ac:dyDescent="0.25">
      <c r="P618" s="18"/>
      <c r="Q618" s="47"/>
      <c r="R618" s="46"/>
      <c r="S618" s="46"/>
      <c r="T618" s="18"/>
    </row>
    <row r="619" spans="16:20" x14ac:dyDescent="0.25">
      <c r="P619" s="18"/>
      <c r="Q619" s="47"/>
      <c r="R619" s="46"/>
      <c r="S619" s="46"/>
      <c r="T619" s="18"/>
    </row>
    <row r="620" spans="16:20" x14ac:dyDescent="0.25">
      <c r="P620" s="18"/>
      <c r="Q620" s="47"/>
      <c r="R620" s="46"/>
      <c r="S620" s="46"/>
      <c r="T620" s="18"/>
    </row>
    <row r="621" spans="16:20" x14ac:dyDescent="0.25">
      <c r="P621" s="18"/>
      <c r="Q621" s="47"/>
      <c r="R621" s="46"/>
      <c r="S621" s="46"/>
      <c r="T621" s="18"/>
    </row>
    <row r="622" spans="16:20" x14ac:dyDescent="0.25">
      <c r="P622" s="18"/>
      <c r="Q622" s="47"/>
      <c r="R622" s="46"/>
      <c r="S622" s="46"/>
      <c r="T622" s="18"/>
    </row>
    <row r="623" spans="16:20" x14ac:dyDescent="0.25">
      <c r="P623" s="18"/>
      <c r="Q623" s="47"/>
      <c r="R623" s="46"/>
      <c r="S623" s="46"/>
      <c r="T623" s="18"/>
    </row>
    <row r="624" spans="16:20" x14ac:dyDescent="0.25">
      <c r="P624" s="18"/>
      <c r="Q624" s="47"/>
      <c r="R624" s="46"/>
      <c r="S624" s="46"/>
      <c r="T624" s="18"/>
    </row>
    <row r="625" spans="16:20" x14ac:dyDescent="0.25">
      <c r="P625" s="18"/>
      <c r="Q625" s="47"/>
      <c r="R625" s="46"/>
      <c r="S625" s="46"/>
      <c r="T625" s="18"/>
    </row>
    <row r="626" spans="16:20" x14ac:dyDescent="0.25">
      <c r="P626" s="18"/>
      <c r="Q626" s="47"/>
      <c r="R626" s="46"/>
      <c r="S626" s="46"/>
      <c r="T626" s="18"/>
    </row>
    <row r="627" spans="16:20" x14ac:dyDescent="0.25">
      <c r="P627" s="18"/>
      <c r="Q627" s="47"/>
      <c r="R627" s="46"/>
      <c r="S627" s="46"/>
      <c r="T627" s="18"/>
    </row>
    <row r="628" spans="16:20" x14ac:dyDescent="0.25">
      <c r="P628" s="18"/>
      <c r="Q628" s="47"/>
      <c r="R628" s="46"/>
      <c r="S628" s="46"/>
      <c r="T628" s="18"/>
    </row>
    <row r="629" spans="16:20" x14ac:dyDescent="0.25">
      <c r="P629" s="18"/>
      <c r="Q629" s="47"/>
      <c r="R629" s="46"/>
      <c r="S629" s="46"/>
      <c r="T629" s="18"/>
    </row>
    <row r="630" spans="16:20" x14ac:dyDescent="0.25">
      <c r="P630" s="18"/>
      <c r="Q630" s="47"/>
      <c r="R630" s="46"/>
      <c r="S630" s="46"/>
      <c r="T630" s="18"/>
    </row>
    <row r="631" spans="16:20" x14ac:dyDescent="0.25">
      <c r="P631" s="18"/>
      <c r="Q631" s="47"/>
      <c r="R631" s="46"/>
      <c r="S631" s="46"/>
      <c r="T631" s="18"/>
    </row>
    <row r="632" spans="16:20" x14ac:dyDescent="0.25">
      <c r="P632" s="18"/>
      <c r="Q632" s="47"/>
      <c r="R632" s="46"/>
      <c r="S632" s="46"/>
      <c r="T632" s="18"/>
    </row>
    <row r="633" spans="16:20" x14ac:dyDescent="0.25">
      <c r="P633" s="18"/>
      <c r="Q633" s="47"/>
      <c r="R633" s="46"/>
      <c r="S633" s="46"/>
      <c r="T633" s="18"/>
    </row>
    <row r="634" spans="16:20" x14ac:dyDescent="0.25">
      <c r="P634" s="18"/>
      <c r="Q634" s="47"/>
      <c r="R634" s="46"/>
      <c r="S634" s="46"/>
      <c r="T634" s="18"/>
    </row>
    <row r="635" spans="16:20" x14ac:dyDescent="0.25">
      <c r="P635" s="18"/>
      <c r="Q635" s="47"/>
      <c r="R635" s="46"/>
      <c r="S635" s="46"/>
      <c r="T635" s="18"/>
    </row>
    <row r="636" spans="16:20" x14ac:dyDescent="0.25">
      <c r="P636" s="18"/>
      <c r="Q636" s="47"/>
      <c r="R636" s="46"/>
      <c r="S636" s="46"/>
      <c r="T636" s="18"/>
    </row>
    <row r="637" spans="16:20" x14ac:dyDescent="0.25">
      <c r="P637" s="18"/>
      <c r="Q637" s="47"/>
      <c r="R637" s="46"/>
      <c r="S637" s="46"/>
      <c r="T637" s="18"/>
    </row>
    <row r="638" spans="16:20" x14ac:dyDescent="0.25">
      <c r="P638" s="18"/>
      <c r="Q638" s="47"/>
      <c r="R638" s="46"/>
      <c r="S638" s="46"/>
      <c r="T638" s="18"/>
    </row>
    <row r="639" spans="16:20" x14ac:dyDescent="0.25">
      <c r="P639" s="18"/>
      <c r="Q639" s="47"/>
      <c r="R639" s="46"/>
      <c r="S639" s="46"/>
      <c r="T639" s="18"/>
    </row>
    <row r="640" spans="16:20" x14ac:dyDescent="0.25">
      <c r="P640" s="18"/>
      <c r="Q640" s="47"/>
      <c r="R640" s="46"/>
      <c r="S640" s="46"/>
      <c r="T640" s="18"/>
    </row>
    <row r="641" spans="16:20" x14ac:dyDescent="0.25">
      <c r="P641" s="18"/>
      <c r="Q641" s="47"/>
      <c r="R641" s="46"/>
      <c r="S641" s="46"/>
      <c r="T641" s="18"/>
    </row>
    <row r="642" spans="16:20" x14ac:dyDescent="0.25">
      <c r="P642" s="18"/>
      <c r="Q642" s="47"/>
      <c r="R642" s="46"/>
      <c r="S642" s="46"/>
      <c r="T642" s="18"/>
    </row>
    <row r="643" spans="16:20" x14ac:dyDescent="0.25">
      <c r="P643" s="18"/>
      <c r="Q643" s="47"/>
      <c r="R643" s="46"/>
      <c r="S643" s="46"/>
      <c r="T643" s="18"/>
    </row>
    <row r="644" spans="16:20" x14ac:dyDescent="0.25">
      <c r="P644" s="18"/>
      <c r="Q644" s="47"/>
      <c r="R644" s="46"/>
      <c r="S644" s="46"/>
      <c r="T644" s="18"/>
    </row>
    <row r="645" spans="16:20" x14ac:dyDescent="0.25">
      <c r="P645" s="18"/>
      <c r="Q645" s="47"/>
      <c r="R645" s="46"/>
      <c r="S645" s="46"/>
      <c r="T645" s="18"/>
    </row>
    <row r="646" spans="16:20" x14ac:dyDescent="0.25">
      <c r="P646" s="18"/>
      <c r="Q646" s="47"/>
      <c r="R646" s="46"/>
      <c r="S646" s="46"/>
      <c r="T646" s="18"/>
    </row>
    <row r="647" spans="16:20" x14ac:dyDescent="0.25">
      <c r="P647" s="18"/>
      <c r="Q647" s="47"/>
      <c r="R647" s="46"/>
      <c r="S647" s="46"/>
      <c r="T647" s="18"/>
    </row>
    <row r="648" spans="16:20" x14ac:dyDescent="0.25">
      <c r="P648" s="18"/>
      <c r="Q648" s="47"/>
      <c r="R648" s="46"/>
      <c r="S648" s="46"/>
      <c r="T648" s="18"/>
    </row>
    <row r="649" spans="16:20" x14ac:dyDescent="0.25">
      <c r="P649" s="18"/>
      <c r="Q649" s="47"/>
      <c r="R649" s="46"/>
      <c r="S649" s="46"/>
      <c r="T649" s="18"/>
    </row>
    <row r="650" spans="16:20" x14ac:dyDescent="0.25">
      <c r="P650" s="18"/>
      <c r="Q650" s="47"/>
      <c r="R650" s="46"/>
      <c r="S650" s="46"/>
      <c r="T650" s="18"/>
    </row>
    <row r="651" spans="16:20" x14ac:dyDescent="0.25">
      <c r="P651" s="18"/>
      <c r="Q651" s="47"/>
      <c r="R651" s="46"/>
      <c r="S651" s="46"/>
      <c r="T651" s="18"/>
    </row>
    <row r="652" spans="16:20" x14ac:dyDescent="0.25">
      <c r="P652" s="18"/>
      <c r="Q652" s="47"/>
      <c r="R652" s="46"/>
      <c r="S652" s="46"/>
      <c r="T652" s="18"/>
    </row>
    <row r="653" spans="16:20" x14ac:dyDescent="0.25">
      <c r="P653" s="18"/>
      <c r="Q653" s="47"/>
      <c r="R653" s="46"/>
      <c r="S653" s="46"/>
      <c r="T653" s="18"/>
    </row>
    <row r="654" spans="16:20" x14ac:dyDescent="0.25">
      <c r="P654" s="18"/>
      <c r="Q654" s="47"/>
      <c r="R654" s="46"/>
      <c r="S654" s="46"/>
      <c r="T654" s="18"/>
    </row>
    <row r="655" spans="16:20" x14ac:dyDescent="0.25">
      <c r="P655" s="18"/>
      <c r="Q655" s="47"/>
      <c r="R655" s="46"/>
      <c r="S655" s="46"/>
      <c r="T655" s="18"/>
    </row>
    <row r="656" spans="16:20" x14ac:dyDescent="0.25">
      <c r="P656" s="18"/>
      <c r="Q656" s="47"/>
      <c r="R656" s="46"/>
      <c r="S656" s="46"/>
      <c r="T656" s="18"/>
    </row>
    <row r="657" spans="16:20" x14ac:dyDescent="0.25">
      <c r="P657" s="18"/>
      <c r="Q657" s="47"/>
      <c r="R657" s="46"/>
      <c r="S657" s="46"/>
      <c r="T657" s="18"/>
    </row>
    <row r="658" spans="16:20" x14ac:dyDescent="0.25">
      <c r="P658" s="18"/>
      <c r="Q658" s="47"/>
      <c r="R658" s="46"/>
      <c r="S658" s="46"/>
      <c r="T658" s="18"/>
    </row>
    <row r="659" spans="16:20" x14ac:dyDescent="0.25">
      <c r="P659" s="18"/>
      <c r="Q659" s="47"/>
      <c r="R659" s="46"/>
      <c r="S659" s="46"/>
      <c r="T659" s="18"/>
    </row>
    <row r="660" spans="16:20" x14ac:dyDescent="0.25">
      <c r="P660" s="18"/>
      <c r="Q660" s="47"/>
      <c r="R660" s="46"/>
      <c r="S660" s="46"/>
      <c r="T660" s="18"/>
    </row>
    <row r="661" spans="16:20" x14ac:dyDescent="0.25">
      <c r="P661" s="18"/>
      <c r="Q661" s="47"/>
      <c r="R661" s="46"/>
      <c r="S661" s="46"/>
      <c r="T661" s="18"/>
    </row>
    <row r="662" spans="16:20" x14ac:dyDescent="0.25">
      <c r="P662" s="18"/>
      <c r="Q662" s="47"/>
      <c r="R662" s="46"/>
      <c r="S662" s="46"/>
      <c r="T662" s="18"/>
    </row>
    <row r="663" spans="16:20" x14ac:dyDescent="0.25">
      <c r="P663" s="18"/>
      <c r="Q663" s="47"/>
      <c r="R663" s="46"/>
      <c r="S663" s="46"/>
      <c r="T663" s="18"/>
    </row>
    <row r="664" spans="16:20" x14ac:dyDescent="0.25">
      <c r="P664" s="18"/>
      <c r="Q664" s="47"/>
      <c r="R664" s="46"/>
      <c r="S664" s="46"/>
      <c r="T664" s="18"/>
    </row>
    <row r="665" spans="16:20" x14ac:dyDescent="0.25">
      <c r="P665" s="18"/>
      <c r="Q665" s="47"/>
      <c r="R665" s="46"/>
      <c r="S665" s="46"/>
      <c r="T665" s="18"/>
    </row>
    <row r="666" spans="16:20" x14ac:dyDescent="0.25">
      <c r="P666" s="18"/>
      <c r="Q666" s="47"/>
      <c r="R666" s="46"/>
      <c r="S666" s="46"/>
      <c r="T666" s="18"/>
    </row>
    <row r="667" spans="16:20" x14ac:dyDescent="0.25">
      <c r="P667" s="18"/>
      <c r="Q667" s="47"/>
      <c r="R667" s="46"/>
      <c r="S667" s="46"/>
      <c r="T667" s="18"/>
    </row>
    <row r="668" spans="16:20" x14ac:dyDescent="0.25">
      <c r="P668" s="18"/>
      <c r="Q668" s="47"/>
      <c r="R668" s="46"/>
      <c r="S668" s="46"/>
      <c r="T668" s="18"/>
    </row>
    <row r="669" spans="16:20" x14ac:dyDescent="0.25">
      <c r="P669" s="18"/>
      <c r="Q669" s="47"/>
      <c r="R669" s="46"/>
      <c r="S669" s="46"/>
      <c r="T669" s="18"/>
    </row>
    <row r="670" spans="16:20" x14ac:dyDescent="0.25">
      <c r="P670" s="18"/>
      <c r="Q670" s="47"/>
      <c r="R670" s="46"/>
      <c r="S670" s="46"/>
      <c r="T670" s="18"/>
    </row>
    <row r="671" spans="16:20" x14ac:dyDescent="0.25">
      <c r="P671" s="18"/>
      <c r="Q671" s="47"/>
      <c r="R671" s="46"/>
      <c r="S671" s="46"/>
      <c r="T671" s="18"/>
    </row>
    <row r="672" spans="16:20" x14ac:dyDescent="0.25">
      <c r="P672" s="18"/>
      <c r="Q672" s="47"/>
      <c r="R672" s="46"/>
      <c r="S672" s="46"/>
      <c r="T672" s="18"/>
    </row>
    <row r="673" spans="16:20" x14ac:dyDescent="0.25">
      <c r="P673" s="18"/>
      <c r="Q673" s="47"/>
      <c r="R673" s="46"/>
      <c r="S673" s="46"/>
      <c r="T673" s="18"/>
    </row>
    <row r="674" spans="16:20" x14ac:dyDescent="0.25">
      <c r="P674" s="18"/>
      <c r="Q674" s="47"/>
      <c r="R674" s="46"/>
      <c r="S674" s="46"/>
      <c r="T674" s="18"/>
    </row>
    <row r="675" spans="16:20" x14ac:dyDescent="0.25">
      <c r="P675" s="18"/>
      <c r="Q675" s="47"/>
      <c r="R675" s="46"/>
      <c r="S675" s="46"/>
      <c r="T675" s="18"/>
    </row>
    <row r="676" spans="16:20" x14ac:dyDescent="0.25">
      <c r="P676" s="18"/>
      <c r="Q676" s="47"/>
      <c r="R676" s="46"/>
      <c r="S676" s="46"/>
      <c r="T676" s="18"/>
    </row>
    <row r="677" spans="16:20" x14ac:dyDescent="0.25">
      <c r="P677" s="18"/>
      <c r="Q677" s="47"/>
      <c r="R677" s="46"/>
      <c r="S677" s="46"/>
      <c r="T677" s="18"/>
    </row>
    <row r="678" spans="16:20" x14ac:dyDescent="0.25">
      <c r="P678" s="18"/>
      <c r="Q678" s="47"/>
      <c r="R678" s="46"/>
      <c r="S678" s="46"/>
      <c r="T678" s="18"/>
    </row>
    <row r="679" spans="16:20" x14ac:dyDescent="0.25">
      <c r="P679" s="18"/>
      <c r="Q679" s="47"/>
      <c r="R679" s="46"/>
      <c r="S679" s="46"/>
      <c r="T679" s="18"/>
    </row>
    <row r="680" spans="16:20" x14ac:dyDescent="0.25">
      <c r="P680" s="18"/>
      <c r="Q680" s="47"/>
      <c r="R680" s="46"/>
      <c r="S680" s="46"/>
      <c r="T680" s="18"/>
    </row>
    <row r="681" spans="16:20" x14ac:dyDescent="0.25">
      <c r="P681" s="18"/>
      <c r="Q681" s="47"/>
      <c r="R681" s="46"/>
      <c r="S681" s="46"/>
      <c r="T681" s="18"/>
    </row>
    <row r="682" spans="16:20" x14ac:dyDescent="0.25">
      <c r="P682" s="18"/>
      <c r="Q682" s="47"/>
      <c r="R682" s="46"/>
      <c r="S682" s="46"/>
      <c r="T682" s="18"/>
    </row>
    <row r="683" spans="16:20" x14ac:dyDescent="0.25">
      <c r="P683" s="18"/>
      <c r="Q683" s="47"/>
      <c r="R683" s="46"/>
      <c r="S683" s="46"/>
      <c r="T683" s="18"/>
    </row>
    <row r="684" spans="16:20" x14ac:dyDescent="0.25">
      <c r="P684" s="18"/>
      <c r="Q684" s="47"/>
      <c r="R684" s="46"/>
      <c r="S684" s="46"/>
      <c r="T684" s="18"/>
    </row>
    <row r="685" spans="16:20" x14ac:dyDescent="0.25">
      <c r="P685" s="18"/>
      <c r="Q685" s="47"/>
      <c r="R685" s="46"/>
      <c r="S685" s="46"/>
      <c r="T685" s="18"/>
    </row>
    <row r="686" spans="16:20" x14ac:dyDescent="0.25">
      <c r="P686" s="18"/>
      <c r="Q686" s="47"/>
      <c r="R686" s="46"/>
      <c r="S686" s="46"/>
      <c r="T686" s="18"/>
    </row>
    <row r="687" spans="16:20" x14ac:dyDescent="0.25">
      <c r="P687" s="18"/>
      <c r="Q687" s="47"/>
      <c r="R687" s="46"/>
      <c r="S687" s="46"/>
      <c r="T687" s="18"/>
    </row>
    <row r="688" spans="16:20" x14ac:dyDescent="0.25">
      <c r="P688" s="18"/>
      <c r="Q688" s="47"/>
      <c r="R688" s="46"/>
      <c r="S688" s="46"/>
      <c r="T688" s="18"/>
    </row>
    <row r="689" spans="16:20" x14ac:dyDescent="0.25">
      <c r="P689" s="18"/>
      <c r="Q689" s="47"/>
      <c r="R689" s="46"/>
      <c r="S689" s="46"/>
      <c r="T689" s="18"/>
    </row>
    <row r="690" spans="16:20" x14ac:dyDescent="0.25">
      <c r="P690" s="18"/>
      <c r="Q690" s="47"/>
      <c r="R690" s="46"/>
      <c r="S690" s="46"/>
      <c r="T690" s="18"/>
    </row>
    <row r="691" spans="16:20" x14ac:dyDescent="0.25">
      <c r="P691" s="18"/>
      <c r="Q691" s="47"/>
      <c r="R691" s="46"/>
      <c r="S691" s="46"/>
      <c r="T691" s="18"/>
    </row>
    <row r="692" spans="16:20" x14ac:dyDescent="0.25">
      <c r="P692" s="18"/>
      <c r="Q692" s="47"/>
      <c r="R692" s="46"/>
      <c r="S692" s="46"/>
      <c r="T692" s="18"/>
    </row>
    <row r="693" spans="16:20" x14ac:dyDescent="0.25">
      <c r="P693" s="18"/>
      <c r="Q693" s="47"/>
      <c r="R693" s="46"/>
      <c r="S693" s="46"/>
      <c r="T693" s="18"/>
    </row>
    <row r="694" spans="16:20" x14ac:dyDescent="0.25">
      <c r="P694" s="18"/>
      <c r="Q694" s="47"/>
      <c r="R694" s="46"/>
      <c r="S694" s="46"/>
      <c r="T694" s="18"/>
    </row>
    <row r="695" spans="16:20" x14ac:dyDescent="0.25">
      <c r="P695" s="18"/>
      <c r="Q695" s="47"/>
      <c r="R695" s="46"/>
      <c r="S695" s="46"/>
      <c r="T695" s="18"/>
    </row>
    <row r="696" spans="16:20" x14ac:dyDescent="0.25">
      <c r="P696" s="18"/>
      <c r="Q696" s="47"/>
      <c r="R696" s="46"/>
      <c r="S696" s="46"/>
      <c r="T696" s="18"/>
    </row>
    <row r="697" spans="16:20" x14ac:dyDescent="0.25">
      <c r="P697" s="18"/>
      <c r="Q697" s="47"/>
      <c r="R697" s="46"/>
      <c r="S697" s="46"/>
      <c r="T697" s="18"/>
    </row>
    <row r="698" spans="16:20" x14ac:dyDescent="0.25">
      <c r="P698" s="18"/>
      <c r="Q698" s="47"/>
      <c r="R698" s="46"/>
      <c r="S698" s="46"/>
      <c r="T698" s="18"/>
    </row>
    <row r="699" spans="16:20" x14ac:dyDescent="0.25">
      <c r="P699" s="18"/>
      <c r="Q699" s="47"/>
      <c r="R699" s="46"/>
      <c r="S699" s="46"/>
      <c r="T699" s="18"/>
    </row>
    <row r="700" spans="16:20" x14ac:dyDescent="0.25">
      <c r="P700" s="18"/>
      <c r="Q700" s="47"/>
      <c r="R700" s="46"/>
      <c r="S700" s="46"/>
      <c r="T700" s="18"/>
    </row>
    <row r="701" spans="16:20" x14ac:dyDescent="0.25">
      <c r="P701" s="18"/>
      <c r="Q701" s="47"/>
      <c r="R701" s="46"/>
      <c r="S701" s="46"/>
      <c r="T701" s="18"/>
    </row>
    <row r="702" spans="16:20" x14ac:dyDescent="0.25">
      <c r="P702" s="18"/>
      <c r="Q702" s="47"/>
      <c r="R702" s="46"/>
      <c r="S702" s="46"/>
      <c r="T702" s="18"/>
    </row>
    <row r="703" spans="16:20" x14ac:dyDescent="0.25">
      <c r="P703" s="18"/>
      <c r="Q703" s="47"/>
      <c r="R703" s="46"/>
      <c r="S703" s="46"/>
      <c r="T703" s="18"/>
    </row>
    <row r="704" spans="16:20" x14ac:dyDescent="0.25">
      <c r="P704" s="18"/>
      <c r="Q704" s="47"/>
      <c r="R704" s="46"/>
      <c r="S704" s="46"/>
      <c r="T704" s="18"/>
    </row>
    <row r="705" spans="16:20" x14ac:dyDescent="0.25">
      <c r="P705" s="18"/>
      <c r="Q705" s="47"/>
      <c r="R705" s="46"/>
      <c r="S705" s="46"/>
      <c r="T705" s="18"/>
    </row>
    <row r="706" spans="16:20" x14ac:dyDescent="0.25">
      <c r="P706" s="18"/>
      <c r="Q706" s="47"/>
      <c r="R706" s="46"/>
      <c r="S706" s="46"/>
      <c r="T706" s="18"/>
    </row>
    <row r="707" spans="16:20" x14ac:dyDescent="0.25">
      <c r="P707" s="18"/>
      <c r="Q707" s="47"/>
      <c r="R707" s="46"/>
      <c r="S707" s="46"/>
      <c r="T707" s="18"/>
    </row>
    <row r="708" spans="16:20" x14ac:dyDescent="0.25">
      <c r="P708" s="18"/>
      <c r="Q708" s="47"/>
      <c r="R708" s="46"/>
      <c r="S708" s="46"/>
      <c r="T708" s="18"/>
    </row>
    <row r="709" spans="16:20" x14ac:dyDescent="0.25">
      <c r="P709" s="18"/>
      <c r="Q709" s="47"/>
      <c r="R709" s="46"/>
      <c r="S709" s="46"/>
      <c r="T709" s="18"/>
    </row>
    <row r="710" spans="16:20" x14ac:dyDescent="0.25">
      <c r="P710" s="18"/>
      <c r="Q710" s="47"/>
      <c r="R710" s="46"/>
      <c r="S710" s="46"/>
      <c r="T710" s="18"/>
    </row>
    <row r="711" spans="16:20" x14ac:dyDescent="0.25">
      <c r="P711" s="18"/>
      <c r="Q711" s="47"/>
      <c r="R711" s="46"/>
      <c r="S711" s="46"/>
      <c r="T711" s="18"/>
    </row>
    <row r="712" spans="16:20" x14ac:dyDescent="0.25">
      <c r="P712" s="18"/>
      <c r="Q712" s="47"/>
      <c r="R712" s="46"/>
      <c r="S712" s="46"/>
      <c r="T712" s="18"/>
    </row>
    <row r="713" spans="16:20" x14ac:dyDescent="0.25">
      <c r="P713" s="18"/>
      <c r="Q713" s="47"/>
      <c r="R713" s="46"/>
      <c r="S713" s="46"/>
      <c r="T713" s="18"/>
    </row>
    <row r="714" spans="16:20" x14ac:dyDescent="0.25">
      <c r="P714" s="18"/>
      <c r="Q714" s="47"/>
      <c r="R714" s="46"/>
      <c r="S714" s="46"/>
      <c r="T714" s="18"/>
    </row>
    <row r="715" spans="16:20" x14ac:dyDescent="0.25">
      <c r="P715" s="18"/>
      <c r="Q715" s="47"/>
      <c r="R715" s="46"/>
      <c r="S715" s="46"/>
      <c r="T715" s="18"/>
    </row>
    <row r="716" spans="16:20" x14ac:dyDescent="0.25">
      <c r="P716" s="18"/>
      <c r="Q716" s="47"/>
      <c r="R716" s="46"/>
      <c r="S716" s="46"/>
      <c r="T716" s="18"/>
    </row>
    <row r="717" spans="16:20" x14ac:dyDescent="0.25">
      <c r="P717" s="18"/>
      <c r="Q717" s="47"/>
      <c r="R717" s="46"/>
      <c r="S717" s="46"/>
      <c r="T717" s="18"/>
    </row>
    <row r="718" spans="16:20" x14ac:dyDescent="0.25">
      <c r="P718" s="18"/>
      <c r="Q718" s="47"/>
      <c r="R718" s="46"/>
      <c r="S718" s="46"/>
      <c r="T718" s="18"/>
    </row>
    <row r="719" spans="16:20" x14ac:dyDescent="0.25">
      <c r="P719" s="18"/>
      <c r="Q719" s="47"/>
      <c r="R719" s="46"/>
      <c r="S719" s="46"/>
      <c r="T719" s="18"/>
    </row>
    <row r="720" spans="16:20" x14ac:dyDescent="0.25">
      <c r="P720" s="18"/>
      <c r="Q720" s="47"/>
      <c r="R720" s="46"/>
      <c r="S720" s="46"/>
      <c r="T720" s="18"/>
    </row>
    <row r="721" spans="16:20" x14ac:dyDescent="0.25">
      <c r="P721" s="18"/>
      <c r="Q721" s="47"/>
      <c r="R721" s="46"/>
      <c r="S721" s="46"/>
      <c r="T721" s="18"/>
    </row>
    <row r="722" spans="16:20" x14ac:dyDescent="0.25">
      <c r="P722" s="18"/>
      <c r="Q722" s="47"/>
      <c r="R722" s="46"/>
      <c r="S722" s="46"/>
      <c r="T722" s="18"/>
    </row>
    <row r="723" spans="16:20" x14ac:dyDescent="0.25">
      <c r="P723" s="18"/>
      <c r="Q723" s="47"/>
      <c r="R723" s="46"/>
      <c r="S723" s="46"/>
      <c r="T723" s="18"/>
    </row>
    <row r="724" spans="16:20" x14ac:dyDescent="0.25">
      <c r="P724" s="18"/>
      <c r="Q724" s="47"/>
      <c r="R724" s="46"/>
      <c r="S724" s="46"/>
      <c r="T724" s="18"/>
    </row>
    <row r="725" spans="16:20" x14ac:dyDescent="0.25">
      <c r="P725" s="18"/>
      <c r="Q725" s="47"/>
      <c r="R725" s="46"/>
      <c r="S725" s="46"/>
      <c r="T725" s="18"/>
    </row>
    <row r="726" spans="16:20" x14ac:dyDescent="0.25">
      <c r="P726" s="18"/>
      <c r="Q726" s="47"/>
      <c r="R726" s="46"/>
      <c r="S726" s="46"/>
      <c r="T726" s="18"/>
    </row>
    <row r="727" spans="16:20" x14ac:dyDescent="0.25">
      <c r="P727" s="18"/>
      <c r="Q727" s="47"/>
      <c r="R727" s="46"/>
      <c r="S727" s="46"/>
      <c r="T727" s="18"/>
    </row>
    <row r="728" spans="16:20" x14ac:dyDescent="0.25">
      <c r="P728" s="18"/>
      <c r="Q728" s="47"/>
      <c r="R728" s="46"/>
      <c r="S728" s="46"/>
      <c r="T728" s="18"/>
    </row>
    <row r="729" spans="16:20" x14ac:dyDescent="0.25">
      <c r="P729" s="18"/>
      <c r="Q729" s="47"/>
      <c r="R729" s="46"/>
      <c r="S729" s="46"/>
      <c r="T729" s="18"/>
    </row>
    <row r="730" spans="16:20" x14ac:dyDescent="0.25">
      <c r="P730" s="18"/>
      <c r="Q730" s="47"/>
      <c r="R730" s="46"/>
      <c r="S730" s="46"/>
      <c r="T730" s="18"/>
    </row>
    <row r="731" spans="16:20" x14ac:dyDescent="0.25">
      <c r="P731" s="18"/>
      <c r="Q731" s="47"/>
      <c r="R731" s="46"/>
      <c r="S731" s="46"/>
      <c r="T731" s="18"/>
    </row>
    <row r="732" spans="16:20" x14ac:dyDescent="0.25">
      <c r="P732" s="18"/>
      <c r="Q732" s="47"/>
      <c r="R732" s="46"/>
      <c r="S732" s="46"/>
      <c r="T732" s="18"/>
    </row>
    <row r="733" spans="16:20" x14ac:dyDescent="0.25">
      <c r="P733" s="18"/>
      <c r="Q733" s="47"/>
      <c r="R733" s="46"/>
      <c r="S733" s="46"/>
      <c r="T733" s="18"/>
    </row>
    <row r="734" spans="16:20" x14ac:dyDescent="0.25">
      <c r="P734" s="18"/>
      <c r="Q734" s="47"/>
      <c r="R734" s="46"/>
      <c r="S734" s="46"/>
      <c r="T734" s="18"/>
    </row>
    <row r="735" spans="16:20" x14ac:dyDescent="0.25">
      <c r="P735" s="18"/>
      <c r="Q735" s="47"/>
      <c r="R735" s="46"/>
      <c r="S735" s="46"/>
      <c r="T735" s="18"/>
    </row>
    <row r="736" spans="16:20" x14ac:dyDescent="0.25">
      <c r="P736" s="18"/>
      <c r="Q736" s="47"/>
      <c r="R736" s="46"/>
      <c r="S736" s="46"/>
      <c r="T736" s="18"/>
    </row>
    <row r="737" spans="16:20" x14ac:dyDescent="0.25">
      <c r="P737" s="18"/>
      <c r="Q737" s="47"/>
      <c r="R737" s="46"/>
      <c r="S737" s="46"/>
      <c r="T737" s="18"/>
    </row>
    <row r="738" spans="16:20" x14ac:dyDescent="0.25">
      <c r="P738" s="18"/>
      <c r="Q738" s="47"/>
      <c r="R738" s="46"/>
      <c r="S738" s="46"/>
      <c r="T738" s="18"/>
    </row>
    <row r="739" spans="16:20" x14ac:dyDescent="0.25">
      <c r="P739" s="18"/>
      <c r="Q739" s="47"/>
      <c r="R739" s="46"/>
      <c r="S739" s="46"/>
      <c r="T739" s="18"/>
    </row>
    <row r="740" spans="16:20" x14ac:dyDescent="0.25">
      <c r="P740" s="18"/>
      <c r="Q740" s="47"/>
      <c r="R740" s="46"/>
      <c r="S740" s="46"/>
      <c r="T740" s="18"/>
    </row>
    <row r="741" spans="16:20" x14ac:dyDescent="0.25">
      <c r="P741" s="18"/>
      <c r="Q741" s="47"/>
      <c r="R741" s="46"/>
      <c r="S741" s="46"/>
      <c r="T741" s="18"/>
    </row>
    <row r="742" spans="16:20" x14ac:dyDescent="0.25">
      <c r="P742" s="18"/>
      <c r="Q742" s="47"/>
      <c r="R742" s="46"/>
      <c r="S742" s="46"/>
      <c r="T742" s="18"/>
    </row>
    <row r="743" spans="16:20" x14ac:dyDescent="0.25">
      <c r="P743" s="18"/>
      <c r="Q743" s="47"/>
      <c r="R743" s="46"/>
      <c r="S743" s="46"/>
      <c r="T743" s="18"/>
    </row>
    <row r="744" spans="16:20" x14ac:dyDescent="0.25">
      <c r="P744" s="18"/>
      <c r="Q744" s="47"/>
      <c r="R744" s="46"/>
      <c r="S744" s="46"/>
      <c r="T744" s="18"/>
    </row>
    <row r="745" spans="16:20" x14ac:dyDescent="0.25">
      <c r="P745" s="18"/>
      <c r="Q745" s="47"/>
      <c r="R745" s="46"/>
      <c r="S745" s="46"/>
      <c r="T745" s="18"/>
    </row>
    <row r="746" spans="16:20" x14ac:dyDescent="0.25">
      <c r="P746" s="18"/>
      <c r="Q746" s="47"/>
      <c r="R746" s="46"/>
      <c r="S746" s="46"/>
      <c r="T746" s="18"/>
    </row>
    <row r="747" spans="16:20" x14ac:dyDescent="0.25">
      <c r="P747" s="18"/>
      <c r="Q747" s="47"/>
      <c r="R747" s="46"/>
      <c r="S747" s="46"/>
      <c r="T747" s="18"/>
    </row>
    <row r="748" spans="16:20" x14ac:dyDescent="0.25">
      <c r="P748" s="18"/>
      <c r="Q748" s="47"/>
      <c r="R748" s="46"/>
      <c r="S748" s="46"/>
      <c r="T748" s="18"/>
    </row>
    <row r="749" spans="16:20" x14ac:dyDescent="0.25">
      <c r="P749" s="18"/>
      <c r="Q749" s="47"/>
      <c r="R749" s="46"/>
      <c r="S749" s="46"/>
      <c r="T749" s="18"/>
    </row>
    <row r="750" spans="16:20" x14ac:dyDescent="0.25">
      <c r="P750" s="18"/>
      <c r="Q750" s="47"/>
      <c r="R750" s="46"/>
      <c r="S750" s="46"/>
      <c r="T750" s="18"/>
    </row>
    <row r="751" spans="16:20" x14ac:dyDescent="0.25">
      <c r="P751" s="18"/>
      <c r="Q751" s="47"/>
      <c r="R751" s="46"/>
      <c r="S751" s="46"/>
      <c r="T751" s="18"/>
    </row>
    <row r="752" spans="16:20" x14ac:dyDescent="0.25">
      <c r="P752" s="18"/>
      <c r="Q752" s="47"/>
      <c r="R752" s="46"/>
      <c r="S752" s="46"/>
      <c r="T752" s="18"/>
    </row>
    <row r="753" spans="16:20" x14ac:dyDescent="0.25">
      <c r="P753" s="18"/>
      <c r="Q753" s="47"/>
      <c r="R753" s="46"/>
      <c r="S753" s="46"/>
      <c r="T753" s="18"/>
    </row>
    <row r="754" spans="16:20" x14ac:dyDescent="0.25">
      <c r="P754" s="18"/>
      <c r="Q754" s="47"/>
      <c r="R754" s="46"/>
      <c r="S754" s="46"/>
      <c r="T754" s="18"/>
    </row>
    <row r="755" spans="16:20" x14ac:dyDescent="0.25">
      <c r="P755" s="18"/>
      <c r="Q755" s="47"/>
      <c r="R755" s="46"/>
      <c r="S755" s="46"/>
      <c r="T755" s="18"/>
    </row>
    <row r="756" spans="16:20" x14ac:dyDescent="0.25">
      <c r="P756" s="18"/>
      <c r="Q756" s="47"/>
      <c r="R756" s="46"/>
      <c r="S756" s="46"/>
      <c r="T756" s="18"/>
    </row>
    <row r="757" spans="16:20" x14ac:dyDescent="0.25">
      <c r="P757" s="18"/>
      <c r="Q757" s="47"/>
      <c r="R757" s="46"/>
      <c r="S757" s="46"/>
      <c r="T757" s="18"/>
    </row>
    <row r="758" spans="16:20" x14ac:dyDescent="0.25">
      <c r="P758" s="18"/>
      <c r="Q758" s="47"/>
      <c r="R758" s="46"/>
      <c r="S758" s="46"/>
      <c r="T758" s="18"/>
    </row>
    <row r="759" spans="16:20" x14ac:dyDescent="0.25">
      <c r="P759" s="18"/>
      <c r="Q759" s="47"/>
      <c r="R759" s="46"/>
      <c r="S759" s="46"/>
      <c r="T759" s="18"/>
    </row>
    <row r="760" spans="16:20" x14ac:dyDescent="0.25">
      <c r="P760" s="18"/>
      <c r="Q760" s="47"/>
      <c r="R760" s="46"/>
      <c r="S760" s="46"/>
      <c r="T760" s="18"/>
    </row>
    <row r="761" spans="16:20" x14ac:dyDescent="0.25">
      <c r="P761" s="18"/>
      <c r="Q761" s="47"/>
      <c r="R761" s="46"/>
      <c r="S761" s="46"/>
      <c r="T761" s="18"/>
    </row>
    <row r="762" spans="16:20" x14ac:dyDescent="0.25">
      <c r="P762" s="18"/>
      <c r="Q762" s="47"/>
      <c r="R762" s="46"/>
      <c r="S762" s="46"/>
      <c r="T762" s="18"/>
    </row>
    <row r="763" spans="16:20" x14ac:dyDescent="0.25">
      <c r="P763" s="18"/>
      <c r="Q763" s="47"/>
      <c r="R763" s="46"/>
      <c r="S763" s="46"/>
      <c r="T763" s="18"/>
    </row>
    <row r="764" spans="16:20" x14ac:dyDescent="0.25">
      <c r="P764" s="18"/>
      <c r="Q764" s="47"/>
      <c r="R764" s="46"/>
      <c r="S764" s="46"/>
      <c r="T764" s="18"/>
    </row>
    <row r="765" spans="16:20" x14ac:dyDescent="0.25">
      <c r="P765" s="18"/>
      <c r="Q765" s="47"/>
      <c r="R765" s="46"/>
      <c r="S765" s="46"/>
      <c r="T765" s="18"/>
    </row>
    <row r="766" spans="16:20" x14ac:dyDescent="0.25">
      <c r="P766" s="18"/>
      <c r="Q766" s="47"/>
      <c r="R766" s="46"/>
      <c r="S766" s="46"/>
      <c r="T766" s="18"/>
    </row>
    <row r="767" spans="16:20" x14ac:dyDescent="0.25">
      <c r="P767" s="18"/>
      <c r="Q767" s="47"/>
      <c r="R767" s="46"/>
      <c r="S767" s="46"/>
      <c r="T767" s="18"/>
    </row>
    <row r="768" spans="16:20" x14ac:dyDescent="0.25">
      <c r="P768" s="18"/>
      <c r="Q768" s="47"/>
      <c r="R768" s="46"/>
      <c r="S768" s="46"/>
      <c r="T768" s="18"/>
    </row>
    <row r="769" spans="16:20" x14ac:dyDescent="0.25">
      <c r="P769" s="18"/>
      <c r="Q769" s="47"/>
      <c r="R769" s="46"/>
      <c r="S769" s="46"/>
      <c r="T769" s="18"/>
    </row>
    <row r="770" spans="16:20" x14ac:dyDescent="0.25">
      <c r="P770" s="18"/>
      <c r="Q770" s="47"/>
      <c r="R770" s="46"/>
      <c r="S770" s="46"/>
      <c r="T770" s="18"/>
    </row>
    <row r="771" spans="16:20" x14ac:dyDescent="0.25">
      <c r="P771" s="18"/>
      <c r="Q771" s="47"/>
      <c r="R771" s="46"/>
      <c r="S771" s="46"/>
      <c r="T771" s="18"/>
    </row>
    <row r="772" spans="16:20" x14ac:dyDescent="0.25">
      <c r="P772" s="18"/>
      <c r="Q772" s="47"/>
      <c r="R772" s="46"/>
      <c r="S772" s="46"/>
      <c r="T772" s="18"/>
    </row>
    <row r="773" spans="16:20" x14ac:dyDescent="0.25">
      <c r="P773" s="18"/>
      <c r="Q773" s="47"/>
      <c r="R773" s="46"/>
      <c r="S773" s="46"/>
      <c r="T773" s="18"/>
    </row>
    <row r="774" spans="16:20" x14ac:dyDescent="0.25">
      <c r="P774" s="18"/>
      <c r="Q774" s="47"/>
      <c r="R774" s="46"/>
      <c r="S774" s="46"/>
      <c r="T774" s="18"/>
    </row>
    <row r="775" spans="16:20" x14ac:dyDescent="0.25">
      <c r="P775" s="18"/>
      <c r="Q775" s="47"/>
      <c r="R775" s="46"/>
      <c r="S775" s="46"/>
      <c r="T775" s="18"/>
    </row>
    <row r="776" spans="16:20" x14ac:dyDescent="0.25">
      <c r="P776" s="18"/>
      <c r="Q776" s="47"/>
      <c r="R776" s="46"/>
      <c r="S776" s="46"/>
      <c r="T776" s="18"/>
    </row>
    <row r="777" spans="16:20" x14ac:dyDescent="0.25">
      <c r="P777" s="18"/>
      <c r="Q777" s="47"/>
      <c r="R777" s="46"/>
      <c r="S777" s="46"/>
      <c r="T777" s="18"/>
    </row>
    <row r="778" spans="16:20" x14ac:dyDescent="0.25">
      <c r="P778" s="18"/>
      <c r="Q778" s="47"/>
      <c r="R778" s="46"/>
      <c r="S778" s="46"/>
      <c r="T778" s="18"/>
    </row>
    <row r="779" spans="16:20" x14ac:dyDescent="0.25">
      <c r="P779" s="18"/>
      <c r="Q779" s="47"/>
      <c r="R779" s="46"/>
      <c r="S779" s="46"/>
      <c r="T779" s="18"/>
    </row>
    <row r="780" spans="16:20" x14ac:dyDescent="0.25">
      <c r="P780" s="18"/>
      <c r="Q780" s="47"/>
      <c r="R780" s="46"/>
      <c r="S780" s="46"/>
      <c r="T780" s="18"/>
    </row>
    <row r="781" spans="16:20" x14ac:dyDescent="0.25">
      <c r="P781" s="18"/>
      <c r="Q781" s="47"/>
      <c r="R781" s="46"/>
      <c r="S781" s="46"/>
      <c r="T781" s="18"/>
    </row>
    <row r="782" spans="16:20" x14ac:dyDescent="0.25">
      <c r="P782" s="18"/>
      <c r="Q782" s="47"/>
      <c r="R782" s="46"/>
      <c r="S782" s="46"/>
      <c r="T782" s="18"/>
    </row>
    <row r="783" spans="16:20" x14ac:dyDescent="0.25">
      <c r="P783" s="18"/>
      <c r="Q783" s="47"/>
      <c r="R783" s="46"/>
      <c r="S783" s="46"/>
      <c r="T783" s="18"/>
    </row>
    <row r="784" spans="16:20" x14ac:dyDescent="0.25">
      <c r="P784" s="18"/>
      <c r="Q784" s="47"/>
      <c r="R784" s="46"/>
      <c r="S784" s="46"/>
      <c r="T784" s="18"/>
    </row>
    <row r="785" spans="16:20" x14ac:dyDescent="0.25">
      <c r="P785" s="18"/>
      <c r="Q785" s="47"/>
      <c r="R785" s="46"/>
      <c r="S785" s="46"/>
      <c r="T785" s="18"/>
    </row>
    <row r="786" spans="16:20" x14ac:dyDescent="0.25">
      <c r="P786" s="18"/>
      <c r="Q786" s="47"/>
      <c r="R786" s="46"/>
      <c r="S786" s="46"/>
      <c r="T786" s="18"/>
    </row>
    <row r="787" spans="16:20" x14ac:dyDescent="0.25">
      <c r="P787" s="18"/>
      <c r="Q787" s="47"/>
      <c r="R787" s="46"/>
      <c r="S787" s="46"/>
      <c r="T787" s="18"/>
    </row>
    <row r="788" spans="16:20" x14ac:dyDescent="0.25">
      <c r="P788" s="18"/>
      <c r="Q788" s="47"/>
      <c r="R788" s="46"/>
      <c r="S788" s="46"/>
      <c r="T788" s="18"/>
    </row>
    <row r="789" spans="16:20" x14ac:dyDescent="0.25">
      <c r="P789" s="18"/>
      <c r="Q789" s="47"/>
      <c r="R789" s="46"/>
      <c r="S789" s="46"/>
      <c r="T789" s="18"/>
    </row>
    <row r="790" spans="16:20" x14ac:dyDescent="0.25">
      <c r="P790" s="18"/>
      <c r="Q790" s="47"/>
      <c r="R790" s="46"/>
      <c r="S790" s="46"/>
      <c r="T790" s="18"/>
    </row>
    <row r="791" spans="16:20" x14ac:dyDescent="0.25">
      <c r="P791" s="18"/>
      <c r="Q791" s="47"/>
      <c r="R791" s="46"/>
      <c r="S791" s="46"/>
      <c r="T791" s="18"/>
    </row>
    <row r="792" spans="16:20" x14ac:dyDescent="0.25">
      <c r="P792" s="18"/>
      <c r="Q792" s="47"/>
      <c r="R792" s="46"/>
      <c r="S792" s="46"/>
      <c r="T792" s="18"/>
    </row>
    <row r="793" spans="16:20" x14ac:dyDescent="0.25">
      <c r="P793" s="18"/>
      <c r="Q793" s="47"/>
      <c r="R793" s="46"/>
      <c r="S793" s="46"/>
      <c r="T793" s="18"/>
    </row>
    <row r="794" spans="16:20" x14ac:dyDescent="0.25">
      <c r="P794" s="18"/>
      <c r="Q794" s="47"/>
      <c r="R794" s="46"/>
      <c r="S794" s="46"/>
      <c r="T794" s="18"/>
    </row>
    <row r="795" spans="16:20" x14ac:dyDescent="0.25">
      <c r="P795" s="18"/>
      <c r="Q795" s="47"/>
      <c r="R795" s="46"/>
      <c r="S795" s="46"/>
      <c r="T795" s="18"/>
    </row>
    <row r="796" spans="16:20" x14ac:dyDescent="0.25">
      <c r="P796" s="18"/>
      <c r="Q796" s="47"/>
      <c r="R796" s="46"/>
      <c r="S796" s="46"/>
      <c r="T796" s="18"/>
    </row>
    <row r="797" spans="16:20" x14ac:dyDescent="0.25">
      <c r="P797" s="18"/>
      <c r="Q797" s="47"/>
      <c r="R797" s="46"/>
      <c r="S797" s="46"/>
      <c r="T797" s="18"/>
    </row>
    <row r="798" spans="16:20" x14ac:dyDescent="0.25">
      <c r="P798" s="18"/>
      <c r="Q798" s="47"/>
      <c r="R798" s="46"/>
      <c r="S798" s="46"/>
      <c r="T798" s="18"/>
    </row>
    <row r="799" spans="16:20" x14ac:dyDescent="0.25">
      <c r="P799" s="18"/>
      <c r="Q799" s="47"/>
      <c r="R799" s="46"/>
      <c r="S799" s="46"/>
      <c r="T799" s="18"/>
    </row>
    <row r="800" spans="16:20" x14ac:dyDescent="0.25">
      <c r="P800" s="18"/>
      <c r="Q800" s="47"/>
      <c r="R800" s="46"/>
      <c r="S800" s="46"/>
      <c r="T800" s="18"/>
    </row>
    <row r="801" spans="16:20" x14ac:dyDescent="0.25">
      <c r="P801" s="18"/>
      <c r="Q801" s="47"/>
      <c r="R801" s="46"/>
      <c r="S801" s="46"/>
      <c r="T801" s="18"/>
    </row>
    <row r="802" spans="16:20" x14ac:dyDescent="0.25">
      <c r="P802" s="18"/>
      <c r="Q802" s="47"/>
      <c r="R802" s="46"/>
      <c r="S802" s="46"/>
      <c r="T802" s="18"/>
    </row>
    <row r="803" spans="16:20" x14ac:dyDescent="0.25">
      <c r="P803" s="18"/>
      <c r="Q803" s="47"/>
      <c r="R803" s="46"/>
      <c r="S803" s="46"/>
      <c r="T803" s="18"/>
    </row>
    <row r="804" spans="16:20" x14ac:dyDescent="0.25">
      <c r="P804" s="18"/>
      <c r="Q804" s="47"/>
      <c r="R804" s="46"/>
      <c r="S804" s="46"/>
      <c r="T804" s="18"/>
    </row>
    <row r="805" spans="16:20" x14ac:dyDescent="0.25">
      <c r="P805" s="18"/>
      <c r="Q805" s="47"/>
      <c r="R805" s="46"/>
      <c r="S805" s="46"/>
      <c r="T805" s="18"/>
    </row>
    <row r="806" spans="16:20" x14ac:dyDescent="0.25">
      <c r="P806" s="18"/>
      <c r="Q806" s="47"/>
      <c r="R806" s="46"/>
      <c r="S806" s="46"/>
      <c r="T806" s="18"/>
    </row>
    <row r="807" spans="16:20" x14ac:dyDescent="0.25">
      <c r="P807" s="18"/>
      <c r="Q807" s="47"/>
      <c r="R807" s="46"/>
      <c r="S807" s="46"/>
      <c r="T807" s="18"/>
    </row>
    <row r="808" spans="16:20" x14ac:dyDescent="0.25">
      <c r="P808" s="18"/>
      <c r="Q808" s="47"/>
      <c r="R808" s="46"/>
      <c r="S808" s="46"/>
      <c r="T808" s="18"/>
    </row>
    <row r="809" spans="16:20" x14ac:dyDescent="0.25">
      <c r="P809" s="18"/>
      <c r="Q809" s="47"/>
      <c r="R809" s="46"/>
      <c r="S809" s="46"/>
      <c r="T809" s="18"/>
    </row>
    <row r="810" spans="16:20" x14ac:dyDescent="0.25">
      <c r="P810" s="18"/>
      <c r="Q810" s="47"/>
      <c r="R810" s="46"/>
      <c r="S810" s="46"/>
      <c r="T810" s="18"/>
    </row>
    <row r="811" spans="16:20" x14ac:dyDescent="0.25">
      <c r="P811" s="18"/>
      <c r="Q811" s="47"/>
      <c r="R811" s="46"/>
      <c r="S811" s="46"/>
      <c r="T811" s="18"/>
    </row>
    <row r="812" spans="16:20" x14ac:dyDescent="0.25">
      <c r="P812" s="18"/>
      <c r="Q812" s="47"/>
      <c r="R812" s="46"/>
      <c r="S812" s="46"/>
      <c r="T812" s="18"/>
    </row>
    <row r="813" spans="16:20" x14ac:dyDescent="0.25">
      <c r="P813" s="18"/>
      <c r="Q813" s="47"/>
      <c r="R813" s="46"/>
      <c r="S813" s="46"/>
      <c r="T813" s="18"/>
    </row>
    <row r="814" spans="16:20" x14ac:dyDescent="0.25">
      <c r="P814" s="18"/>
      <c r="Q814" s="47"/>
      <c r="R814" s="46"/>
      <c r="S814" s="46"/>
      <c r="T814" s="18"/>
    </row>
    <row r="815" spans="16:20" x14ac:dyDescent="0.25">
      <c r="P815" s="18"/>
      <c r="Q815" s="47"/>
      <c r="R815" s="46"/>
      <c r="S815" s="46"/>
      <c r="T815" s="18"/>
    </row>
    <row r="816" spans="16:20" x14ac:dyDescent="0.25">
      <c r="P816" s="18"/>
      <c r="Q816" s="47"/>
      <c r="R816" s="46"/>
      <c r="S816" s="18"/>
      <c r="T816" s="18"/>
    </row>
    <row r="817" spans="16:20" x14ac:dyDescent="0.25">
      <c r="P817" s="18"/>
      <c r="Q817" s="47"/>
      <c r="R817" s="46"/>
      <c r="S817" s="18"/>
      <c r="T817" s="18"/>
    </row>
    <row r="818" spans="16:20" x14ac:dyDescent="0.25">
      <c r="P818" s="18"/>
      <c r="Q818" s="47"/>
      <c r="R818" s="46"/>
      <c r="S818" s="18"/>
    </row>
    <row r="819" spans="16:20" x14ac:dyDescent="0.25">
      <c r="P819" s="18"/>
      <c r="Q819" s="48"/>
      <c r="R819" s="18"/>
      <c r="S819" s="18"/>
    </row>
  </sheetData>
  <sortState ref="Q2:S311">
    <sortCondition ref="Q2"/>
  </sortState>
  <mergeCells count="4">
    <mergeCell ref="A199:G199"/>
    <mergeCell ref="A158:H158"/>
    <mergeCell ref="A110:H110"/>
    <mergeCell ref="A216:G216"/>
  </mergeCells>
  <hyperlinks>
    <hyperlink ref="A199:G199" r:id="rId1" display="Source: http://www.opec.org  Monthly oil Market Report 14 March 2017"/>
    <hyperlink ref="A158:H158" r:id="rId2" display="Data source: http://peakoilbarrel.com/opec-crude-oil-production-charts/"/>
    <hyperlink ref="A110:H110" r:id="rId3" display="Source :http://www.macrotrends.net/1369/crude-oil-price-history-chart"/>
    <hyperlink ref="A216:G216" r:id="rId4" display="Source: http://www.opec.org Monthly oil Market Report 14 March 2017"/>
  </hyperlinks>
  <pageMargins left="0.7" right="0.7" top="0.75" bottom="0.75" header="0.3" footer="0.3"/>
  <pageSetup paperSize="0" orientation="portrait" horizontalDpi="0" verticalDpi="0" copies="0"/>
  <drawing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L13"/>
  <sheetViews>
    <sheetView workbookViewId="0">
      <selection activeCell="I17" sqref="I17"/>
    </sheetView>
  </sheetViews>
  <sheetFormatPr defaultRowHeight="15" x14ac:dyDescent="0.25"/>
  <sheetData>
    <row r="1" spans="1:12" x14ac:dyDescent="0.25">
      <c r="A1" s="80" t="s">
        <v>67</v>
      </c>
      <c r="B1" s="80"/>
      <c r="C1" s="80"/>
      <c r="D1" s="80"/>
      <c r="E1" s="80"/>
      <c r="F1" s="80"/>
      <c r="G1" s="80"/>
      <c r="H1" s="80"/>
      <c r="I1" s="80"/>
      <c r="J1" s="80"/>
      <c r="K1" s="80"/>
      <c r="L1" s="80"/>
    </row>
    <row r="2" spans="1:12" x14ac:dyDescent="0.25">
      <c r="A2" s="80"/>
      <c r="B2" s="80"/>
      <c r="C2" s="80"/>
      <c r="D2" s="80"/>
      <c r="E2" s="80"/>
      <c r="F2" s="80"/>
      <c r="G2" s="80"/>
      <c r="H2" s="80"/>
      <c r="I2" s="80"/>
      <c r="J2" s="80"/>
      <c r="K2" s="80"/>
      <c r="L2" s="80"/>
    </row>
    <row r="3" spans="1:12" ht="15.75" x14ac:dyDescent="0.25">
      <c r="A3">
        <v>1</v>
      </c>
      <c r="B3" s="81" t="s">
        <v>68</v>
      </c>
      <c r="C3" s="81"/>
      <c r="D3" s="81"/>
      <c r="E3" s="81"/>
      <c r="F3" s="81"/>
      <c r="G3" s="81"/>
      <c r="H3" s="81"/>
      <c r="I3" s="81"/>
      <c r="J3" s="81"/>
      <c r="K3" s="81"/>
      <c r="L3" s="81"/>
    </row>
    <row r="4" spans="1:12" x14ac:dyDescent="0.25">
      <c r="A4">
        <v>2</v>
      </c>
      <c r="B4" s="78" t="s">
        <v>69</v>
      </c>
      <c r="C4" s="78"/>
      <c r="D4" s="78"/>
      <c r="E4" s="78"/>
      <c r="F4" s="78"/>
      <c r="G4" s="78"/>
      <c r="H4" s="78"/>
      <c r="I4" s="78"/>
      <c r="J4" s="78"/>
      <c r="K4" s="78"/>
      <c r="L4" s="78"/>
    </row>
    <row r="5" spans="1:12" x14ac:dyDescent="0.25">
      <c r="A5">
        <v>3</v>
      </c>
      <c r="B5" s="75" t="s">
        <v>70</v>
      </c>
      <c r="C5" s="76"/>
      <c r="D5" s="76"/>
      <c r="E5" s="76"/>
      <c r="F5" s="76"/>
      <c r="G5" s="76"/>
      <c r="H5" s="76"/>
      <c r="I5" s="76"/>
      <c r="J5" s="76"/>
      <c r="K5" s="76"/>
      <c r="L5" s="76"/>
    </row>
    <row r="6" spans="1:12" x14ac:dyDescent="0.25">
      <c r="A6">
        <v>4</v>
      </c>
      <c r="B6" s="75" t="s">
        <v>71</v>
      </c>
      <c r="C6" s="76"/>
      <c r="D6" s="76"/>
      <c r="E6" s="76"/>
      <c r="F6" s="76"/>
      <c r="G6" s="76"/>
      <c r="H6" s="76"/>
      <c r="I6" s="76"/>
      <c r="J6" s="76"/>
      <c r="K6" s="76"/>
      <c r="L6" s="76"/>
    </row>
    <row r="7" spans="1:12" x14ac:dyDescent="0.25">
      <c r="A7">
        <v>5</v>
      </c>
      <c r="B7" s="78" t="s">
        <v>73</v>
      </c>
      <c r="C7" s="79"/>
      <c r="D7" s="79"/>
      <c r="E7" s="79"/>
      <c r="F7" s="79"/>
      <c r="G7" s="79"/>
      <c r="H7" s="79"/>
      <c r="I7" s="79"/>
      <c r="J7" s="79"/>
      <c r="K7" s="79"/>
      <c r="L7" s="79"/>
    </row>
    <row r="8" spans="1:12" x14ac:dyDescent="0.25">
      <c r="A8">
        <v>6</v>
      </c>
      <c r="B8" s="75" t="s">
        <v>74</v>
      </c>
      <c r="C8" s="76"/>
      <c r="D8" s="76"/>
      <c r="E8" s="76"/>
      <c r="F8" s="76"/>
      <c r="G8" s="76"/>
      <c r="H8" s="76"/>
      <c r="I8" s="76"/>
      <c r="J8" s="76"/>
      <c r="K8" s="76"/>
      <c r="L8" s="76"/>
    </row>
    <row r="9" spans="1:12" x14ac:dyDescent="0.25">
      <c r="A9">
        <v>7</v>
      </c>
      <c r="B9" s="75" t="s">
        <v>75</v>
      </c>
      <c r="C9" s="76"/>
      <c r="D9" s="76"/>
      <c r="E9" s="76"/>
      <c r="F9" s="76"/>
      <c r="G9" s="76"/>
      <c r="H9" s="76"/>
      <c r="I9" s="76"/>
      <c r="J9" s="76"/>
      <c r="K9" s="76"/>
      <c r="L9" s="76"/>
    </row>
    <row r="10" spans="1:12" x14ac:dyDescent="0.25">
      <c r="A10">
        <v>8</v>
      </c>
      <c r="B10" s="77" t="s">
        <v>78</v>
      </c>
      <c r="C10" s="77"/>
      <c r="D10" s="77"/>
      <c r="E10" s="77"/>
      <c r="F10" s="77"/>
      <c r="G10" s="77"/>
      <c r="H10" s="77"/>
      <c r="I10" s="77"/>
      <c r="J10" s="77"/>
      <c r="K10" s="77"/>
      <c r="L10" s="77"/>
    </row>
    <row r="11" spans="1:12" x14ac:dyDescent="0.25">
      <c r="A11">
        <v>9</v>
      </c>
      <c r="B11" s="74" t="s">
        <v>77</v>
      </c>
      <c r="C11" s="74"/>
      <c r="D11" s="74"/>
      <c r="E11" s="74"/>
      <c r="F11" s="74"/>
      <c r="G11" s="74"/>
      <c r="H11" s="74"/>
      <c r="I11" s="74"/>
      <c r="J11" s="74"/>
      <c r="K11" s="74"/>
      <c r="L11" s="74"/>
    </row>
    <row r="12" spans="1:12" x14ac:dyDescent="0.25">
      <c r="A12">
        <v>10</v>
      </c>
      <c r="B12" s="74" t="s">
        <v>76</v>
      </c>
      <c r="C12" s="74"/>
      <c r="D12" s="74"/>
      <c r="E12" s="74"/>
      <c r="F12" s="74"/>
      <c r="G12" s="74"/>
      <c r="H12" s="74"/>
      <c r="I12" s="74"/>
      <c r="J12" s="74"/>
      <c r="K12" s="74"/>
      <c r="L12" s="74"/>
    </row>
    <row r="13" spans="1:12" x14ac:dyDescent="0.25">
      <c r="B13" s="5"/>
      <c r="C13" s="5"/>
      <c r="D13" s="5"/>
      <c r="E13" s="5"/>
      <c r="F13" s="5"/>
      <c r="G13" s="5"/>
      <c r="H13" s="5"/>
    </row>
  </sheetData>
  <mergeCells count="11">
    <mergeCell ref="B7:L7"/>
    <mergeCell ref="A1:L2"/>
    <mergeCell ref="B3:L3"/>
    <mergeCell ref="B4:L4"/>
    <mergeCell ref="B5:L5"/>
    <mergeCell ref="B6:L6"/>
    <mergeCell ref="B12:L12"/>
    <mergeCell ref="B8:L8"/>
    <mergeCell ref="B9:L9"/>
    <mergeCell ref="B10:L10"/>
    <mergeCell ref="B11:L11"/>
  </mergeCells>
  <hyperlinks>
    <hyperlink ref="B4:L4" r:id="rId1" display="Yahoo Finance  https://finance.yahoo.com/"/>
    <hyperlink ref="B5" r:id="rId2"/>
    <hyperlink ref="B6" r:id="rId3"/>
    <hyperlink ref="B7" r:id="rId4"/>
    <hyperlink ref="B8" r:id="rId5"/>
    <hyperlink ref="B9" r:id="rId6"/>
    <hyperlink ref="B10:I10" r:id="rId7" display="Source :http://www.macrotrends.net/1369/crude-oil-price-history-chart"/>
    <hyperlink ref="B11:I11" r:id="rId8" display="Data source: http://peakoilbarrel.com/opec-crude-oil-production-charts/"/>
    <hyperlink ref="B12:H12" r:id="rId9" display="Source: http://www.opec.org  Monthly oil Market Report 14 March 2017"/>
    <hyperlink ref="B12:L12" r:id="rId10" display="http://www.opec.org  Monthly oil Market Report 14 March 2017"/>
    <hyperlink ref="B11:L11" r:id="rId11" display="http://peakoilbarrel.com/opec-crude-oil-production-charts/"/>
    <hyperlink ref="B10:L10" r:id="rId12" display="http://www.macrotrends.net/1369/crude-oil-price-history-chart"/>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6</vt:i4>
      </vt:variant>
      <vt:variant>
        <vt:lpstr>Именованные диапазоны</vt:lpstr>
      </vt:variant>
      <vt:variant>
        <vt:i4>13</vt:i4>
      </vt:variant>
    </vt:vector>
  </HeadingPairs>
  <TitlesOfParts>
    <vt:vector size="19" baseType="lpstr">
      <vt:lpstr>The Black-Scholes model</vt:lpstr>
      <vt:lpstr>Microsoft stock price</vt:lpstr>
      <vt:lpstr>Binomial Model</vt:lpstr>
      <vt:lpstr>Oil Price and factors</vt:lpstr>
      <vt:lpstr>Oil price forecasting</vt:lpstr>
      <vt:lpstr>Sources</vt:lpstr>
      <vt:lpstr>Discount_Factor</vt:lpstr>
      <vt:lpstr>Down_movement</vt:lpstr>
      <vt:lpstr>Exercise_Price</vt:lpstr>
      <vt:lpstr>Interest_Rate</vt:lpstr>
      <vt:lpstr>nSteps</vt:lpstr>
      <vt:lpstr>Number_of_Steps</vt:lpstr>
      <vt:lpstr>Stock_Price</vt:lpstr>
      <vt:lpstr>Time_Interval</vt:lpstr>
      <vt:lpstr>Time_to_Maturity</vt:lpstr>
      <vt:lpstr>TimeToMaturity</vt:lpstr>
      <vt:lpstr>Up_movement</vt:lpstr>
      <vt:lpstr>Up_probability</vt:lpstr>
      <vt:lpstr>Volatility</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2017-04-11T23:24:34Z</dcterms:modified>
</cp:coreProperties>
</file>